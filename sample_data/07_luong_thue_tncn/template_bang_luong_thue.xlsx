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ảng lương" sheetId="1" r:id="rId1"/>
    <sheet name="Tham số" sheetId="2" r:id="rId2"/>
    <sheet name="Tổng hợp" sheetId="3" r:id="rId3"/>
  </sheets>
  <calcPr calcId="124519" fullCalcOnLoad="1"/>
</workbook>
</file>

<file path=xl/sharedStrings.xml><?xml version="1.0" encoding="utf-8"?>
<sst xmlns="http://schemas.openxmlformats.org/spreadsheetml/2006/main" count="65" uniqueCount="53">
  <si>
    <t>BẢNG LƯƠNG, BẢO HIỂM VÀ THUẾ TNCN</t>
  </si>
  <si>
    <t>Công ty:</t>
  </si>
  <si>
    <t>Kỳ lương:</t>
  </si>
  <si>
    <t>Ngày công chuẩn:</t>
  </si>
  <si>
    <t>Mã NV</t>
  </si>
  <si>
    <t>Họ tên</t>
  </si>
  <si>
    <t>Phòng ban</t>
  </si>
  <si>
    <t>Lương cơ bản</t>
  </si>
  <si>
    <t>Ngày công</t>
  </si>
  <si>
    <t>Giờ tăng ca</t>
  </si>
  <si>
    <t>Số NPT</t>
  </si>
  <si>
    <t>Phụ cấp</t>
  </si>
  <si>
    <t>Lương theo công</t>
  </si>
  <si>
    <t>Tiền tăng ca</t>
  </si>
  <si>
    <t>Tổng thu nhập</t>
  </si>
  <si>
    <t>BHXH-BHYT-BHTN</t>
  </si>
  <si>
    <t>Thu nhập tính thuế</t>
  </si>
  <si>
    <t>Thuế TNCN</t>
  </si>
  <si>
    <t>Thực lĩnh</t>
  </si>
  <si>
    <t>Xếp loại công</t>
  </si>
  <si>
    <t>Tổng cộng</t>
  </si>
  <si>
    <t>THAM SỐ TÍNH LƯƠNG (minh họa, cần đối chiếu quy định hiện hành trước khi dùng thật)</t>
  </si>
  <si>
    <t>Giảm trừ bản thân</t>
  </si>
  <si>
    <t>Giảm trừ mỗi người phụ thuộc</t>
  </si>
  <si>
    <t>Tỷ lệ BH người lao động đóng</t>
  </si>
  <si>
    <t>Trần lương đóng BH</t>
  </si>
  <si>
    <t>Biểu thuế lũy tiến từng phần (theo tháng)</t>
  </si>
  <si>
    <t>Thu nhập tính thuế từ</t>
  </si>
  <si>
    <t>Thuế suất</t>
  </si>
  <si>
    <t>Chênh lệch thuế suất</t>
  </si>
  <si>
    <t>Phụ cấp theo phòng ban</t>
  </si>
  <si>
    <t>Kinh doanh</t>
  </si>
  <si>
    <t>Kế toán</t>
  </si>
  <si>
    <t>Kỹ thuật</t>
  </si>
  <si>
    <t>Nhân sự</t>
  </si>
  <si>
    <t>Kho vận</t>
  </si>
  <si>
    <t>Chăm sóc KH</t>
  </si>
  <si>
    <t>TỔNG HỢP QUỸ LƯƠNG THEO PHÒNG BAN</t>
  </si>
  <si>
    <t>Số NV</t>
  </si>
  <si>
    <t>Bảo hiểm</t>
  </si>
  <si>
    <t>TB thực lĩnh</t>
  </si>
  <si>
    <t>Tỷ trọng</t>
  </si>
  <si>
    <t>Pháp chế</t>
  </si>
  <si>
    <t>Toàn công ty</t>
  </si>
  <si>
    <t>CHỈ SỐ NHANH</t>
  </si>
  <si>
    <t>Thực lĩnh cao nhất</t>
  </si>
  <si>
    <t>Thực lĩnh thấp nhất</t>
  </si>
  <si>
    <t>Trung vị thực lĩnh</t>
  </si>
  <si>
    <t>Người lĩnh cao nhất</t>
  </si>
  <si>
    <t>Số người phải nộp thuế</t>
  </si>
  <si>
    <t>Số người thiếu nhiều công</t>
  </si>
  <si>
    <t>Tổng giờ tăng ca</t>
  </si>
  <si>
    <t>Thuế / tổng thu nhập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</si>
</sst>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%"/>
  </numFmts>
  <fonts count="5">
    <font>
      <sz val="11"/>
      <color theme="1"/>
      <name val="Calibri"/>
      <family val="2"/>
      <scheme val="minor"/>
    </font>
    <font>
      <b/>
      <sz val="16"/>
      <color rgb="FF1F4E7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9E6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1" xfId="0" applyFill="1" applyBorder="1"/>
    <xf numFmtId="164" fontId="0" fillId="2" borderId="1" xfId="0" applyNumberFormat="1" applyFill="1" applyBorder="1"/>
    <xf numFmtId="0" fontId="3" fillId="3" borderId="1" xfId="0" applyFont="1" applyFill="1" applyBorder="1" applyAlignment="1">
      <alignment horizontal="center" vertical="center" wrapText="1"/>
    </xf>
    <xf numFmtId="164" fontId="0" fillId="0" borderId="1" xfId="0" applyNumberFormat="1" applyBorder="1"/>
    <xf numFmtId="164" fontId="2" fillId="4" borderId="1" xfId="0" applyNumberFormat="1" applyFont="1" applyFill="1" applyBorder="1"/>
    <xf numFmtId="0" fontId="4" fillId="0" borderId="0" xfId="0" applyFont="1"/>
    <xf numFmtId="165" fontId="0" fillId="0" borderId="0" xfId="0" applyNumberFormat="1"/>
    <xf numFmtId="165" fontId="0" fillId="0" borderId="1" xfId="0" applyNumberFormat="1" applyBorder="1"/>
    <xf numFmtId="165" fontId="2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8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18.7109375" customWidth="1"/>
    <col min="2" max="2" width="24.7109375" customWidth="1"/>
    <col min="3" max="16" width="14.7109375" customWidth="1"/>
  </cols>
  <sheetData>
    <row r="1" spans="1:16">
      <c r="A1" s="1" t="s">
        <v>0</v>
      </c>
    </row>
    <row r="3" spans="1:16">
      <c r="A3" s="2" t="s">
        <v>1</v>
      </c>
      <c r="B3" s="3"/>
    </row>
    <row r="4" spans="1:16">
      <c r="A4" s="2" t="s">
        <v>2</v>
      </c>
      <c r="B4" s="3"/>
    </row>
    <row r="5" spans="1:16">
      <c r="A5" s="2" t="s">
        <v>3</v>
      </c>
      <c r="B5" s="4"/>
    </row>
    <row r="7" spans="1:16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  <c r="L7" s="5" t="s">
        <v>15</v>
      </c>
      <c r="M7" s="5" t="s">
        <v>16</v>
      </c>
      <c r="N7" s="5" t="s">
        <v>17</v>
      </c>
      <c r="O7" s="5" t="s">
        <v>18</v>
      </c>
      <c r="P7" s="5" t="s">
        <v>19</v>
      </c>
    </row>
    <row r="8" spans="1:16">
      <c r="A8" s="3"/>
      <c r="B8" s="3"/>
      <c r="C8" s="3"/>
      <c r="D8" s="4"/>
      <c r="E8" s="4"/>
      <c r="F8" s="4"/>
      <c r="G8" s="4"/>
      <c r="H8" s="6">
        <f>IF(C8="","",IFERROR(VLOOKUP(C8,'Tham số'!$A$20:$B$25,2,FALSE),0))</f>
        <v/>
      </c>
      <c r="I8" s="6">
        <f>IF(D8="","",ROUND(D8*E8/IF(N($B$5)=0,26,$B$5),0))</f>
        <v/>
      </c>
      <c r="J8" s="6">
        <f>IF(D8="","",ROUND(D8/IF(N($B$5)=0,26,$B$5)/8*1.5*N(F8),0))</f>
        <v/>
      </c>
      <c r="K8" s="6">
        <f>IF(D8="","",I8+J8+N(H8))</f>
        <v/>
      </c>
      <c r="L8" s="6">
        <f>IF(D8="","",ROUND(MIN(D8,'Tham số'!$B$6)*'Tham số'!$B$5,0))</f>
        <v/>
      </c>
      <c r="M8" s="6">
        <f>IF(D8="","",MAX(0,K8-L8-'Tham số'!$B$3-N(G8)*'Tham số'!$B$4))</f>
        <v/>
      </c>
      <c r="N8" s="6">
        <f>IF(D8="","",ROUND(SUMPRODUCT(--(M8&gt;'Tham số'!$A$10:$A$16),M8-'Tham số'!$A$10:$A$16,'Tham số'!$C$10:$C$16),0))</f>
        <v/>
      </c>
      <c r="O8" s="6">
        <f>IF(D8="","",K8-L8-N8)</f>
        <v/>
      </c>
      <c r="P8">
        <f>IF(E8="","",IF(E8&gt;=IF(N($B$5)=0,26,$B$5),"Đủ công",IF(E8&gt;=IF(N($B$5)=0,26,$B$5)-3,"Thiếu ít","Thiếu nhiều")))</f>
        <v/>
      </c>
    </row>
    <row r="9" spans="1:16">
      <c r="A9" s="3"/>
      <c r="B9" s="3"/>
      <c r="C9" s="3"/>
      <c r="D9" s="4"/>
      <c r="E9" s="4"/>
      <c r="F9" s="4"/>
      <c r="G9" s="4"/>
      <c r="H9" s="6">
        <f>IF(C9="","",IFERROR(VLOOKUP(C9,'Tham số'!$A$20:$B$25,2,FALSE),0))</f>
        <v/>
      </c>
      <c r="I9" s="6">
        <f>IF(D9="","",ROUND(D9*E9/IF(N($B$5)=0,26,$B$5),0))</f>
        <v/>
      </c>
      <c r="J9" s="6">
        <f>IF(D9="","",ROUND(D9/IF(N($B$5)=0,26,$B$5)/8*1.5*N(F9),0))</f>
        <v/>
      </c>
      <c r="K9" s="6">
        <f>IF(D9="","",I9+J9+N(H9))</f>
        <v/>
      </c>
      <c r="L9" s="6">
        <f>IF(D9="","",ROUND(MIN(D9,'Tham số'!$B$6)*'Tham số'!$B$5,0))</f>
        <v/>
      </c>
      <c r="M9" s="6">
        <f>IF(D9="","",MAX(0,K9-L9-'Tham số'!$B$3-N(G9)*'Tham số'!$B$4))</f>
        <v/>
      </c>
      <c r="N9" s="6">
        <f>IF(D9="","",ROUND(SUMPRODUCT(--(M9&gt;'Tham số'!$A$10:$A$16),M9-'Tham số'!$A$10:$A$16,'Tham số'!$C$10:$C$16),0))</f>
        <v/>
      </c>
      <c r="O9" s="6">
        <f>IF(D9="","",K9-L9-N9)</f>
        <v/>
      </c>
      <c r="P9">
        <f>IF(E9="","",IF(E9&gt;=IF(N($B$5)=0,26,$B$5),"Đủ công",IF(E9&gt;=IF(N($B$5)=0,26,$B$5)-3,"Thiếu ít","Thiếu nhiều")))</f>
        <v/>
      </c>
    </row>
    <row r="10" spans="1:16">
      <c r="A10" s="3"/>
      <c r="B10" s="3"/>
      <c r="C10" s="3"/>
      <c r="D10" s="4"/>
      <c r="E10" s="4"/>
      <c r="F10" s="4"/>
      <c r="G10" s="4"/>
      <c r="H10" s="6">
        <f>IF(C10="","",IFERROR(VLOOKUP(C10,'Tham số'!$A$20:$B$25,2,FALSE),0))</f>
        <v/>
      </c>
      <c r="I10" s="6">
        <f>IF(D10="","",ROUND(D10*E10/IF(N($B$5)=0,26,$B$5),0))</f>
        <v/>
      </c>
      <c r="J10" s="6">
        <f>IF(D10="","",ROUND(D10/IF(N($B$5)=0,26,$B$5)/8*1.5*N(F10),0))</f>
        <v/>
      </c>
      <c r="K10" s="6">
        <f>IF(D10="","",I10+J10+N(H10))</f>
        <v/>
      </c>
      <c r="L10" s="6">
        <f>IF(D10="","",ROUND(MIN(D10,'Tham số'!$B$6)*'Tham số'!$B$5,0))</f>
        <v/>
      </c>
      <c r="M10" s="6">
        <f>IF(D10="","",MAX(0,K10-L10-'Tham số'!$B$3-N(G10)*'Tham số'!$B$4))</f>
        <v/>
      </c>
      <c r="N10" s="6">
        <f>IF(D10="","",ROUND(SUMPRODUCT(--(M10&gt;'Tham số'!$A$10:$A$16),M10-'Tham số'!$A$10:$A$16,'Tham số'!$C$10:$C$16),0))</f>
        <v/>
      </c>
      <c r="O10" s="6">
        <f>IF(D10="","",K10-L10-N10)</f>
        <v/>
      </c>
      <c r="P10">
        <f>IF(E10="","",IF(E10&gt;=IF(N($B$5)=0,26,$B$5),"Đủ công",IF(E10&gt;=IF(N($B$5)=0,26,$B$5)-3,"Thiếu ít","Thiếu nhiều")))</f>
        <v/>
      </c>
    </row>
    <row r="11" spans="1:16">
      <c r="A11" s="3"/>
      <c r="B11" s="3"/>
      <c r="C11" s="3"/>
      <c r="D11" s="4"/>
      <c r="E11" s="4"/>
      <c r="F11" s="4"/>
      <c r="G11" s="4"/>
      <c r="H11" s="6">
        <f>IF(C11="","",IFERROR(VLOOKUP(C11,'Tham số'!$A$20:$B$25,2,FALSE),0))</f>
        <v/>
      </c>
      <c r="I11" s="6">
        <f>IF(D11="","",ROUND(D11*E11/IF(N($B$5)=0,26,$B$5),0))</f>
        <v/>
      </c>
      <c r="J11" s="6">
        <f>IF(D11="","",ROUND(D11/IF(N($B$5)=0,26,$B$5)/8*1.5*N(F11),0))</f>
        <v/>
      </c>
      <c r="K11" s="6">
        <f>IF(D11="","",I11+J11+N(H11))</f>
        <v/>
      </c>
      <c r="L11" s="6">
        <f>IF(D11="","",ROUND(MIN(D11,'Tham số'!$B$6)*'Tham số'!$B$5,0))</f>
        <v/>
      </c>
      <c r="M11" s="6">
        <f>IF(D11="","",MAX(0,K11-L11-'Tham số'!$B$3-N(G11)*'Tham số'!$B$4))</f>
        <v/>
      </c>
      <c r="N11" s="6">
        <f>IF(D11="","",ROUND(SUMPRODUCT(--(M11&gt;'Tham số'!$A$10:$A$16),M11-'Tham số'!$A$10:$A$16,'Tham số'!$C$10:$C$16),0))</f>
        <v/>
      </c>
      <c r="O11" s="6">
        <f>IF(D11="","",K11-L11-N11)</f>
        <v/>
      </c>
      <c r="P11">
        <f>IF(E11="","",IF(E11&gt;=IF(N($B$5)=0,26,$B$5),"Đủ công",IF(E11&gt;=IF(N($B$5)=0,26,$B$5)-3,"Thiếu ít","Thiếu nhiều")))</f>
        <v/>
      </c>
    </row>
    <row r="12" spans="1:16">
      <c r="A12" s="3"/>
      <c r="B12" s="3"/>
      <c r="C12" s="3"/>
      <c r="D12" s="4"/>
      <c r="E12" s="4"/>
      <c r="F12" s="4"/>
      <c r="G12" s="4"/>
      <c r="H12" s="6">
        <f>IF(C12="","",IFERROR(VLOOKUP(C12,'Tham số'!$A$20:$B$25,2,FALSE),0))</f>
        <v/>
      </c>
      <c r="I12" s="6">
        <f>IF(D12="","",ROUND(D12*E12/IF(N($B$5)=0,26,$B$5),0))</f>
        <v/>
      </c>
      <c r="J12" s="6">
        <f>IF(D12="","",ROUND(D12/IF(N($B$5)=0,26,$B$5)/8*1.5*N(F12),0))</f>
        <v/>
      </c>
      <c r="K12" s="6">
        <f>IF(D12="","",I12+J12+N(H12))</f>
        <v/>
      </c>
      <c r="L12" s="6">
        <f>IF(D12="","",ROUND(MIN(D12,'Tham số'!$B$6)*'Tham số'!$B$5,0))</f>
        <v/>
      </c>
      <c r="M12" s="6">
        <f>IF(D12="","",MAX(0,K12-L12-'Tham số'!$B$3-N(G12)*'Tham số'!$B$4))</f>
        <v/>
      </c>
      <c r="N12" s="6">
        <f>IF(D12="","",ROUND(SUMPRODUCT(--(M12&gt;'Tham số'!$A$10:$A$16),M12-'Tham số'!$A$10:$A$16,'Tham số'!$C$10:$C$16),0))</f>
        <v/>
      </c>
      <c r="O12" s="6">
        <f>IF(D12="","",K12-L12-N12)</f>
        <v/>
      </c>
      <c r="P12">
        <f>IF(E12="","",IF(E12&gt;=IF(N($B$5)=0,26,$B$5),"Đủ công",IF(E12&gt;=IF(N($B$5)=0,26,$B$5)-3,"Thiếu ít","Thiếu nhiều")))</f>
        <v/>
      </c>
    </row>
    <row r="13" spans="1:16">
      <c r="A13" s="3"/>
      <c r="B13" s="3"/>
      <c r="C13" s="3"/>
      <c r="D13" s="4"/>
      <c r="E13" s="4"/>
      <c r="F13" s="4"/>
      <c r="G13" s="4"/>
      <c r="H13" s="6">
        <f>IF(C13="","",IFERROR(VLOOKUP(C13,'Tham số'!$A$20:$B$25,2,FALSE),0))</f>
        <v/>
      </c>
      <c r="I13" s="6">
        <f>IF(D13="","",ROUND(D13*E13/IF(N($B$5)=0,26,$B$5),0))</f>
        <v/>
      </c>
      <c r="J13" s="6">
        <f>IF(D13="","",ROUND(D13/IF(N($B$5)=0,26,$B$5)/8*1.5*N(F13),0))</f>
        <v/>
      </c>
      <c r="K13" s="6">
        <f>IF(D13="","",I13+J13+N(H13))</f>
        <v/>
      </c>
      <c r="L13" s="6">
        <f>IF(D13="","",ROUND(MIN(D13,'Tham số'!$B$6)*'Tham số'!$B$5,0))</f>
        <v/>
      </c>
      <c r="M13" s="6">
        <f>IF(D13="","",MAX(0,K13-L13-'Tham số'!$B$3-N(G13)*'Tham số'!$B$4))</f>
        <v/>
      </c>
      <c r="N13" s="6">
        <f>IF(D13="","",ROUND(SUMPRODUCT(--(M13&gt;'Tham số'!$A$10:$A$16),M13-'Tham số'!$A$10:$A$16,'Tham số'!$C$10:$C$16),0))</f>
        <v/>
      </c>
      <c r="O13" s="6">
        <f>IF(D13="","",K13-L13-N13)</f>
        <v/>
      </c>
      <c r="P13">
        <f>IF(E13="","",IF(E13&gt;=IF(N($B$5)=0,26,$B$5),"Đủ công",IF(E13&gt;=IF(N($B$5)=0,26,$B$5)-3,"Thiếu ít","Thiếu nhiều")))</f>
        <v/>
      </c>
    </row>
    <row r="14" spans="1:16">
      <c r="A14" s="3"/>
      <c r="B14" s="3"/>
      <c r="C14" s="3"/>
      <c r="D14" s="4"/>
      <c r="E14" s="4"/>
      <c r="F14" s="4"/>
      <c r="G14" s="4"/>
      <c r="H14" s="6">
        <f>IF(C14="","",IFERROR(VLOOKUP(C14,'Tham số'!$A$20:$B$25,2,FALSE),0))</f>
        <v/>
      </c>
      <c r="I14" s="6">
        <f>IF(D14="","",ROUND(D14*E14/IF(N($B$5)=0,26,$B$5),0))</f>
        <v/>
      </c>
      <c r="J14" s="6">
        <f>IF(D14="","",ROUND(D14/IF(N($B$5)=0,26,$B$5)/8*1.5*N(F14),0))</f>
        <v/>
      </c>
      <c r="K14" s="6">
        <f>IF(D14="","",I14+J14+N(H14))</f>
        <v/>
      </c>
      <c r="L14" s="6">
        <f>IF(D14="","",ROUND(MIN(D14,'Tham số'!$B$6)*'Tham số'!$B$5,0))</f>
        <v/>
      </c>
      <c r="M14" s="6">
        <f>IF(D14="","",MAX(0,K14-L14-'Tham số'!$B$3-N(G14)*'Tham số'!$B$4))</f>
        <v/>
      </c>
      <c r="N14" s="6">
        <f>IF(D14="","",ROUND(SUMPRODUCT(--(M14&gt;'Tham số'!$A$10:$A$16),M14-'Tham số'!$A$10:$A$16,'Tham số'!$C$10:$C$16),0))</f>
        <v/>
      </c>
      <c r="O14" s="6">
        <f>IF(D14="","",K14-L14-N14)</f>
        <v/>
      </c>
      <c r="P14">
        <f>IF(E14="","",IF(E14&gt;=IF(N($B$5)=0,26,$B$5),"Đủ công",IF(E14&gt;=IF(N($B$5)=0,26,$B$5)-3,"Thiếu ít","Thiếu nhiều")))</f>
        <v/>
      </c>
    </row>
    <row r="15" spans="1:16">
      <c r="A15" s="3"/>
      <c r="B15" s="3"/>
      <c r="C15" s="3"/>
      <c r="D15" s="4"/>
      <c r="E15" s="4"/>
      <c r="F15" s="4"/>
      <c r="G15" s="4"/>
      <c r="H15" s="6">
        <f>IF(C15="","",IFERROR(VLOOKUP(C15,'Tham số'!$A$20:$B$25,2,FALSE),0))</f>
        <v/>
      </c>
      <c r="I15" s="6">
        <f>IF(D15="","",ROUND(D15*E15/IF(N($B$5)=0,26,$B$5),0))</f>
        <v/>
      </c>
      <c r="J15" s="6">
        <f>IF(D15="","",ROUND(D15/IF(N($B$5)=0,26,$B$5)/8*1.5*N(F15),0))</f>
        <v/>
      </c>
      <c r="K15" s="6">
        <f>IF(D15="","",I15+J15+N(H15))</f>
        <v/>
      </c>
      <c r="L15" s="6">
        <f>IF(D15="","",ROUND(MIN(D15,'Tham số'!$B$6)*'Tham số'!$B$5,0))</f>
        <v/>
      </c>
      <c r="M15" s="6">
        <f>IF(D15="","",MAX(0,K15-L15-'Tham số'!$B$3-N(G15)*'Tham số'!$B$4))</f>
        <v/>
      </c>
      <c r="N15" s="6">
        <f>IF(D15="","",ROUND(SUMPRODUCT(--(M15&gt;'Tham số'!$A$10:$A$16),M15-'Tham số'!$A$10:$A$16,'Tham số'!$C$10:$C$16),0))</f>
        <v/>
      </c>
      <c r="O15" s="6">
        <f>IF(D15="","",K15-L15-N15)</f>
        <v/>
      </c>
      <c r="P15">
        <f>IF(E15="","",IF(E15&gt;=IF(N($B$5)=0,26,$B$5),"Đủ công",IF(E15&gt;=IF(N($B$5)=0,26,$B$5)-3,"Thiếu ít","Thiếu nhiều")))</f>
        <v/>
      </c>
    </row>
    <row r="16" spans="1:16">
      <c r="A16" s="3"/>
      <c r="B16" s="3"/>
      <c r="C16" s="3"/>
      <c r="D16" s="4"/>
      <c r="E16" s="4"/>
      <c r="F16" s="4"/>
      <c r="G16" s="4"/>
      <c r="H16" s="6">
        <f>IF(C16="","",IFERROR(VLOOKUP(C16,'Tham số'!$A$20:$B$25,2,FALSE),0))</f>
        <v/>
      </c>
      <c r="I16" s="6">
        <f>IF(D16="","",ROUND(D16*E16/IF(N($B$5)=0,26,$B$5),0))</f>
        <v/>
      </c>
      <c r="J16" s="6">
        <f>IF(D16="","",ROUND(D16/IF(N($B$5)=0,26,$B$5)/8*1.5*N(F16),0))</f>
        <v/>
      </c>
      <c r="K16" s="6">
        <f>IF(D16="","",I16+J16+N(H16))</f>
        <v/>
      </c>
      <c r="L16" s="6">
        <f>IF(D16="","",ROUND(MIN(D16,'Tham số'!$B$6)*'Tham số'!$B$5,0))</f>
        <v/>
      </c>
      <c r="M16" s="6">
        <f>IF(D16="","",MAX(0,K16-L16-'Tham số'!$B$3-N(G16)*'Tham số'!$B$4))</f>
        <v/>
      </c>
      <c r="N16" s="6">
        <f>IF(D16="","",ROUND(SUMPRODUCT(--(M16&gt;'Tham số'!$A$10:$A$16),M16-'Tham số'!$A$10:$A$16,'Tham số'!$C$10:$C$16),0))</f>
        <v/>
      </c>
      <c r="O16" s="6">
        <f>IF(D16="","",K16-L16-N16)</f>
        <v/>
      </c>
      <c r="P16">
        <f>IF(E16="","",IF(E16&gt;=IF(N($B$5)=0,26,$B$5),"Đủ công",IF(E16&gt;=IF(N($B$5)=0,26,$B$5)-3,"Thiếu ít","Thiếu nhiều")))</f>
        <v/>
      </c>
    </row>
    <row r="17" spans="1:16">
      <c r="A17" s="3"/>
      <c r="B17" s="3"/>
      <c r="C17" s="3"/>
      <c r="D17" s="4"/>
      <c r="E17" s="4"/>
      <c r="F17" s="4"/>
      <c r="G17" s="4"/>
      <c r="H17" s="6">
        <f>IF(C17="","",IFERROR(VLOOKUP(C17,'Tham số'!$A$20:$B$25,2,FALSE),0))</f>
        <v/>
      </c>
      <c r="I17" s="6">
        <f>IF(D17="","",ROUND(D17*E17/IF(N($B$5)=0,26,$B$5),0))</f>
        <v/>
      </c>
      <c r="J17" s="6">
        <f>IF(D17="","",ROUND(D17/IF(N($B$5)=0,26,$B$5)/8*1.5*N(F17),0))</f>
        <v/>
      </c>
      <c r="K17" s="6">
        <f>IF(D17="","",I17+J17+N(H17))</f>
        <v/>
      </c>
      <c r="L17" s="6">
        <f>IF(D17="","",ROUND(MIN(D17,'Tham số'!$B$6)*'Tham số'!$B$5,0))</f>
        <v/>
      </c>
      <c r="M17" s="6">
        <f>IF(D17="","",MAX(0,K17-L17-'Tham số'!$B$3-N(G17)*'Tham số'!$B$4))</f>
        <v/>
      </c>
      <c r="N17" s="6">
        <f>IF(D17="","",ROUND(SUMPRODUCT(--(M17&gt;'Tham số'!$A$10:$A$16),M17-'Tham số'!$A$10:$A$16,'Tham số'!$C$10:$C$16),0))</f>
        <v/>
      </c>
      <c r="O17" s="6">
        <f>IF(D17="","",K17-L17-N17)</f>
        <v/>
      </c>
      <c r="P17">
        <f>IF(E17="","",IF(E17&gt;=IF(N($B$5)=0,26,$B$5),"Đủ công",IF(E17&gt;=IF(N($B$5)=0,26,$B$5)-3,"Thiếu ít","Thiếu nhiều")))</f>
        <v/>
      </c>
    </row>
    <row r="18" spans="1:16">
      <c r="A18" s="3"/>
      <c r="B18" s="3"/>
      <c r="C18" s="3"/>
      <c r="D18" s="4"/>
      <c r="E18" s="4"/>
      <c r="F18" s="4"/>
      <c r="G18" s="4"/>
      <c r="H18" s="6">
        <f>IF(C18="","",IFERROR(VLOOKUP(C18,'Tham số'!$A$20:$B$25,2,FALSE),0))</f>
        <v/>
      </c>
      <c r="I18" s="6">
        <f>IF(D18="","",ROUND(D18*E18/IF(N($B$5)=0,26,$B$5),0))</f>
        <v/>
      </c>
      <c r="J18" s="6">
        <f>IF(D18="","",ROUND(D18/IF(N($B$5)=0,26,$B$5)/8*1.5*N(F18),0))</f>
        <v/>
      </c>
      <c r="K18" s="6">
        <f>IF(D18="","",I18+J18+N(H18))</f>
        <v/>
      </c>
      <c r="L18" s="6">
        <f>IF(D18="","",ROUND(MIN(D18,'Tham số'!$B$6)*'Tham số'!$B$5,0))</f>
        <v/>
      </c>
      <c r="M18" s="6">
        <f>IF(D18="","",MAX(0,K18-L18-'Tham số'!$B$3-N(G18)*'Tham số'!$B$4))</f>
        <v/>
      </c>
      <c r="N18" s="6">
        <f>IF(D18="","",ROUND(SUMPRODUCT(--(M18&gt;'Tham số'!$A$10:$A$16),M18-'Tham số'!$A$10:$A$16,'Tham số'!$C$10:$C$16),0))</f>
        <v/>
      </c>
      <c r="O18" s="6">
        <f>IF(D18="","",K18-L18-N18)</f>
        <v/>
      </c>
      <c r="P18">
        <f>IF(E18="","",IF(E18&gt;=IF(N($B$5)=0,26,$B$5),"Đủ công",IF(E18&gt;=IF(N($B$5)=0,26,$B$5)-3,"Thiếu ít","Thiếu nhiều")))</f>
        <v/>
      </c>
    </row>
    <row r="19" spans="1:16">
      <c r="A19" s="3"/>
      <c r="B19" s="3"/>
      <c r="C19" s="3"/>
      <c r="D19" s="4"/>
      <c r="E19" s="4"/>
      <c r="F19" s="4"/>
      <c r="G19" s="4"/>
      <c r="H19" s="6">
        <f>IF(C19="","",IFERROR(VLOOKUP(C19,'Tham số'!$A$20:$B$25,2,FALSE),0))</f>
        <v/>
      </c>
      <c r="I19" s="6">
        <f>IF(D19="","",ROUND(D19*E19/IF(N($B$5)=0,26,$B$5),0))</f>
        <v/>
      </c>
      <c r="J19" s="6">
        <f>IF(D19="","",ROUND(D19/IF(N($B$5)=0,26,$B$5)/8*1.5*N(F19),0))</f>
        <v/>
      </c>
      <c r="K19" s="6">
        <f>IF(D19="","",I19+J19+N(H19))</f>
        <v/>
      </c>
      <c r="L19" s="6">
        <f>IF(D19="","",ROUND(MIN(D19,'Tham số'!$B$6)*'Tham số'!$B$5,0))</f>
        <v/>
      </c>
      <c r="M19" s="6">
        <f>IF(D19="","",MAX(0,K19-L19-'Tham số'!$B$3-N(G19)*'Tham số'!$B$4))</f>
        <v/>
      </c>
      <c r="N19" s="6">
        <f>IF(D19="","",ROUND(SUMPRODUCT(--(M19&gt;'Tham số'!$A$10:$A$16),M19-'Tham số'!$A$10:$A$16,'Tham số'!$C$10:$C$16),0))</f>
        <v/>
      </c>
      <c r="O19" s="6">
        <f>IF(D19="","",K19-L19-N19)</f>
        <v/>
      </c>
      <c r="P19">
        <f>IF(E19="","",IF(E19&gt;=IF(N($B$5)=0,26,$B$5),"Đủ công",IF(E19&gt;=IF(N($B$5)=0,26,$B$5)-3,"Thiếu ít","Thiếu nhiều")))</f>
        <v/>
      </c>
    </row>
    <row r="20" spans="1:16">
      <c r="A20" s="3"/>
      <c r="B20" s="3"/>
      <c r="C20" s="3"/>
      <c r="D20" s="4"/>
      <c r="E20" s="4"/>
      <c r="F20" s="4"/>
      <c r="G20" s="4"/>
      <c r="H20" s="6">
        <f>IF(C20="","",IFERROR(VLOOKUP(C20,'Tham số'!$A$20:$B$25,2,FALSE),0))</f>
        <v/>
      </c>
      <c r="I20" s="6">
        <f>IF(D20="","",ROUND(D20*E20/IF(N($B$5)=0,26,$B$5),0))</f>
        <v/>
      </c>
      <c r="J20" s="6">
        <f>IF(D20="","",ROUND(D20/IF(N($B$5)=0,26,$B$5)/8*1.5*N(F20),0))</f>
        <v/>
      </c>
      <c r="K20" s="6">
        <f>IF(D20="","",I20+J20+N(H20))</f>
        <v/>
      </c>
      <c r="L20" s="6">
        <f>IF(D20="","",ROUND(MIN(D20,'Tham số'!$B$6)*'Tham số'!$B$5,0))</f>
        <v/>
      </c>
      <c r="M20" s="6">
        <f>IF(D20="","",MAX(0,K20-L20-'Tham số'!$B$3-N(G20)*'Tham số'!$B$4))</f>
        <v/>
      </c>
      <c r="N20" s="6">
        <f>IF(D20="","",ROUND(SUMPRODUCT(--(M20&gt;'Tham số'!$A$10:$A$16),M20-'Tham số'!$A$10:$A$16,'Tham số'!$C$10:$C$16),0))</f>
        <v/>
      </c>
      <c r="O20" s="6">
        <f>IF(D20="","",K20-L20-N20)</f>
        <v/>
      </c>
      <c r="P20">
        <f>IF(E20="","",IF(E20&gt;=IF(N($B$5)=0,26,$B$5),"Đủ công",IF(E20&gt;=IF(N($B$5)=0,26,$B$5)-3,"Thiếu ít","Thiếu nhiều")))</f>
        <v/>
      </c>
    </row>
    <row r="21" spans="1:16">
      <c r="A21" s="3"/>
      <c r="B21" s="3"/>
      <c r="C21" s="3"/>
      <c r="D21" s="4"/>
      <c r="E21" s="4"/>
      <c r="F21" s="4"/>
      <c r="G21" s="4"/>
      <c r="H21" s="6">
        <f>IF(C21="","",IFERROR(VLOOKUP(C21,'Tham số'!$A$20:$B$25,2,FALSE),0))</f>
        <v/>
      </c>
      <c r="I21" s="6">
        <f>IF(D21="","",ROUND(D21*E21/IF(N($B$5)=0,26,$B$5),0))</f>
        <v/>
      </c>
      <c r="J21" s="6">
        <f>IF(D21="","",ROUND(D21/IF(N($B$5)=0,26,$B$5)/8*1.5*N(F21),0))</f>
        <v/>
      </c>
      <c r="K21" s="6">
        <f>IF(D21="","",I21+J21+N(H21))</f>
        <v/>
      </c>
      <c r="L21" s="6">
        <f>IF(D21="","",ROUND(MIN(D21,'Tham số'!$B$6)*'Tham số'!$B$5,0))</f>
        <v/>
      </c>
      <c r="M21" s="6">
        <f>IF(D21="","",MAX(0,K21-L21-'Tham số'!$B$3-N(G21)*'Tham số'!$B$4))</f>
        <v/>
      </c>
      <c r="N21" s="6">
        <f>IF(D21="","",ROUND(SUMPRODUCT(--(M21&gt;'Tham số'!$A$10:$A$16),M21-'Tham số'!$A$10:$A$16,'Tham số'!$C$10:$C$16),0))</f>
        <v/>
      </c>
      <c r="O21" s="6">
        <f>IF(D21="","",K21-L21-N21)</f>
        <v/>
      </c>
      <c r="P21">
        <f>IF(E21="","",IF(E21&gt;=IF(N($B$5)=0,26,$B$5),"Đủ công",IF(E21&gt;=IF(N($B$5)=0,26,$B$5)-3,"Thiếu ít","Thiếu nhiều")))</f>
        <v/>
      </c>
    </row>
    <row r="22" spans="1:16">
      <c r="A22" s="3"/>
      <c r="B22" s="3"/>
      <c r="C22" s="3"/>
      <c r="D22" s="4"/>
      <c r="E22" s="4"/>
      <c r="F22" s="4"/>
      <c r="G22" s="4"/>
      <c r="H22" s="6">
        <f>IF(C22="","",IFERROR(VLOOKUP(C22,'Tham số'!$A$20:$B$25,2,FALSE),0))</f>
        <v/>
      </c>
      <c r="I22" s="6">
        <f>IF(D22="","",ROUND(D22*E22/IF(N($B$5)=0,26,$B$5),0))</f>
        <v/>
      </c>
      <c r="J22" s="6">
        <f>IF(D22="","",ROUND(D22/IF(N($B$5)=0,26,$B$5)/8*1.5*N(F22),0))</f>
        <v/>
      </c>
      <c r="K22" s="6">
        <f>IF(D22="","",I22+J22+N(H22))</f>
        <v/>
      </c>
      <c r="L22" s="6">
        <f>IF(D22="","",ROUND(MIN(D22,'Tham số'!$B$6)*'Tham số'!$B$5,0))</f>
        <v/>
      </c>
      <c r="M22" s="6">
        <f>IF(D22="","",MAX(0,K22-L22-'Tham số'!$B$3-N(G22)*'Tham số'!$B$4))</f>
        <v/>
      </c>
      <c r="N22" s="6">
        <f>IF(D22="","",ROUND(SUMPRODUCT(--(M22&gt;'Tham số'!$A$10:$A$16),M22-'Tham số'!$A$10:$A$16,'Tham số'!$C$10:$C$16),0))</f>
        <v/>
      </c>
      <c r="O22" s="6">
        <f>IF(D22="","",K22-L22-N22)</f>
        <v/>
      </c>
      <c r="P22">
        <f>IF(E22="","",IF(E22&gt;=IF(N($B$5)=0,26,$B$5),"Đủ công",IF(E22&gt;=IF(N($B$5)=0,26,$B$5)-3,"Thiếu ít","Thiếu nhiều")))</f>
        <v/>
      </c>
    </row>
    <row r="23" spans="1:16">
      <c r="A23" s="3"/>
      <c r="B23" s="3"/>
      <c r="C23" s="3"/>
      <c r="D23" s="4"/>
      <c r="E23" s="4"/>
      <c r="F23" s="4"/>
      <c r="G23" s="4"/>
      <c r="H23" s="6">
        <f>IF(C23="","",IFERROR(VLOOKUP(C23,'Tham số'!$A$20:$B$25,2,FALSE),0))</f>
        <v/>
      </c>
      <c r="I23" s="6">
        <f>IF(D23="","",ROUND(D23*E23/IF(N($B$5)=0,26,$B$5),0))</f>
        <v/>
      </c>
      <c r="J23" s="6">
        <f>IF(D23="","",ROUND(D23/IF(N($B$5)=0,26,$B$5)/8*1.5*N(F23),0))</f>
        <v/>
      </c>
      <c r="K23" s="6">
        <f>IF(D23="","",I23+J23+N(H23))</f>
        <v/>
      </c>
      <c r="L23" s="6">
        <f>IF(D23="","",ROUND(MIN(D23,'Tham số'!$B$6)*'Tham số'!$B$5,0))</f>
        <v/>
      </c>
      <c r="M23" s="6">
        <f>IF(D23="","",MAX(0,K23-L23-'Tham số'!$B$3-N(G23)*'Tham số'!$B$4))</f>
        <v/>
      </c>
      <c r="N23" s="6">
        <f>IF(D23="","",ROUND(SUMPRODUCT(--(M23&gt;'Tham số'!$A$10:$A$16),M23-'Tham số'!$A$10:$A$16,'Tham số'!$C$10:$C$16),0))</f>
        <v/>
      </c>
      <c r="O23" s="6">
        <f>IF(D23="","",K23-L23-N23)</f>
        <v/>
      </c>
      <c r="P23">
        <f>IF(E23="","",IF(E23&gt;=IF(N($B$5)=0,26,$B$5),"Đủ công",IF(E23&gt;=IF(N($B$5)=0,26,$B$5)-3,"Thiếu ít","Thiếu nhiều")))</f>
        <v/>
      </c>
    </row>
    <row r="24" spans="1:16">
      <c r="A24" s="3"/>
      <c r="B24" s="3"/>
      <c r="C24" s="3"/>
      <c r="D24" s="4"/>
      <c r="E24" s="4"/>
      <c r="F24" s="4"/>
      <c r="G24" s="4"/>
      <c r="H24" s="6">
        <f>IF(C24="","",IFERROR(VLOOKUP(C24,'Tham số'!$A$20:$B$25,2,FALSE),0))</f>
        <v/>
      </c>
      <c r="I24" s="6">
        <f>IF(D24="","",ROUND(D24*E24/IF(N($B$5)=0,26,$B$5),0))</f>
        <v/>
      </c>
      <c r="J24" s="6">
        <f>IF(D24="","",ROUND(D24/IF(N($B$5)=0,26,$B$5)/8*1.5*N(F24),0))</f>
        <v/>
      </c>
      <c r="K24" s="6">
        <f>IF(D24="","",I24+J24+N(H24))</f>
        <v/>
      </c>
      <c r="L24" s="6">
        <f>IF(D24="","",ROUND(MIN(D24,'Tham số'!$B$6)*'Tham số'!$B$5,0))</f>
        <v/>
      </c>
      <c r="M24" s="6">
        <f>IF(D24="","",MAX(0,K24-L24-'Tham số'!$B$3-N(G24)*'Tham số'!$B$4))</f>
        <v/>
      </c>
      <c r="N24" s="6">
        <f>IF(D24="","",ROUND(SUMPRODUCT(--(M24&gt;'Tham số'!$A$10:$A$16),M24-'Tham số'!$A$10:$A$16,'Tham số'!$C$10:$C$16),0))</f>
        <v/>
      </c>
      <c r="O24" s="6">
        <f>IF(D24="","",K24-L24-N24)</f>
        <v/>
      </c>
      <c r="P24">
        <f>IF(E24="","",IF(E24&gt;=IF(N($B$5)=0,26,$B$5),"Đủ công",IF(E24&gt;=IF(N($B$5)=0,26,$B$5)-3,"Thiếu ít","Thiếu nhiều")))</f>
        <v/>
      </c>
    </row>
    <row r="25" spans="1:16">
      <c r="A25" s="3"/>
      <c r="B25" s="3"/>
      <c r="C25" s="3"/>
      <c r="D25" s="4"/>
      <c r="E25" s="4"/>
      <c r="F25" s="4"/>
      <c r="G25" s="4"/>
      <c r="H25" s="6">
        <f>IF(C25="","",IFERROR(VLOOKUP(C25,'Tham số'!$A$20:$B$25,2,FALSE),0))</f>
        <v/>
      </c>
      <c r="I25" s="6">
        <f>IF(D25="","",ROUND(D25*E25/IF(N($B$5)=0,26,$B$5),0))</f>
        <v/>
      </c>
      <c r="J25" s="6">
        <f>IF(D25="","",ROUND(D25/IF(N($B$5)=0,26,$B$5)/8*1.5*N(F25),0))</f>
        <v/>
      </c>
      <c r="K25" s="6">
        <f>IF(D25="","",I25+J25+N(H25))</f>
        <v/>
      </c>
      <c r="L25" s="6">
        <f>IF(D25="","",ROUND(MIN(D25,'Tham số'!$B$6)*'Tham số'!$B$5,0))</f>
        <v/>
      </c>
      <c r="M25" s="6">
        <f>IF(D25="","",MAX(0,K25-L25-'Tham số'!$B$3-N(G25)*'Tham số'!$B$4))</f>
        <v/>
      </c>
      <c r="N25" s="6">
        <f>IF(D25="","",ROUND(SUMPRODUCT(--(M25&gt;'Tham số'!$A$10:$A$16),M25-'Tham số'!$A$10:$A$16,'Tham số'!$C$10:$C$16),0))</f>
        <v/>
      </c>
      <c r="O25" s="6">
        <f>IF(D25="","",K25-L25-N25)</f>
        <v/>
      </c>
      <c r="P25">
        <f>IF(E25="","",IF(E25&gt;=IF(N($B$5)=0,26,$B$5),"Đủ công",IF(E25&gt;=IF(N($B$5)=0,26,$B$5)-3,"Thiếu ít","Thiếu nhiều")))</f>
        <v/>
      </c>
    </row>
    <row r="26" spans="1:16">
      <c r="A26" s="3"/>
      <c r="B26" s="3"/>
      <c r="C26" s="3"/>
      <c r="D26" s="4"/>
      <c r="E26" s="4"/>
      <c r="F26" s="4"/>
      <c r="G26" s="4"/>
      <c r="H26" s="6">
        <f>IF(C26="","",IFERROR(VLOOKUP(C26,'Tham số'!$A$20:$B$25,2,FALSE),0))</f>
        <v/>
      </c>
      <c r="I26" s="6">
        <f>IF(D26="","",ROUND(D26*E26/IF(N($B$5)=0,26,$B$5),0))</f>
        <v/>
      </c>
      <c r="J26" s="6">
        <f>IF(D26="","",ROUND(D26/IF(N($B$5)=0,26,$B$5)/8*1.5*N(F26),0))</f>
        <v/>
      </c>
      <c r="K26" s="6">
        <f>IF(D26="","",I26+J26+N(H26))</f>
        <v/>
      </c>
      <c r="L26" s="6">
        <f>IF(D26="","",ROUND(MIN(D26,'Tham số'!$B$6)*'Tham số'!$B$5,0))</f>
        <v/>
      </c>
      <c r="M26" s="6">
        <f>IF(D26="","",MAX(0,K26-L26-'Tham số'!$B$3-N(G26)*'Tham số'!$B$4))</f>
        <v/>
      </c>
      <c r="N26" s="6">
        <f>IF(D26="","",ROUND(SUMPRODUCT(--(M26&gt;'Tham số'!$A$10:$A$16),M26-'Tham số'!$A$10:$A$16,'Tham số'!$C$10:$C$16),0))</f>
        <v/>
      </c>
      <c r="O26" s="6">
        <f>IF(D26="","",K26-L26-N26)</f>
        <v/>
      </c>
      <c r="P26">
        <f>IF(E26="","",IF(E26&gt;=IF(N($B$5)=0,26,$B$5),"Đủ công",IF(E26&gt;=IF(N($B$5)=0,26,$B$5)-3,"Thiếu ít","Thiếu nhiều")))</f>
        <v/>
      </c>
    </row>
    <row r="27" spans="1:16">
      <c r="A27" s="3"/>
      <c r="B27" s="3"/>
      <c r="C27" s="3"/>
      <c r="D27" s="4"/>
      <c r="E27" s="4"/>
      <c r="F27" s="4"/>
      <c r="G27" s="4"/>
      <c r="H27" s="6">
        <f>IF(C27="","",IFERROR(VLOOKUP(C27,'Tham số'!$A$20:$B$25,2,FALSE),0))</f>
        <v/>
      </c>
      <c r="I27" s="6">
        <f>IF(D27="","",ROUND(D27*E27/IF(N($B$5)=0,26,$B$5),0))</f>
        <v/>
      </c>
      <c r="J27" s="6">
        <f>IF(D27="","",ROUND(D27/IF(N($B$5)=0,26,$B$5)/8*1.5*N(F27),0))</f>
        <v/>
      </c>
      <c r="K27" s="6">
        <f>IF(D27="","",I27+J27+N(H27))</f>
        <v/>
      </c>
      <c r="L27" s="6">
        <f>IF(D27="","",ROUND(MIN(D27,'Tham số'!$B$6)*'Tham số'!$B$5,0))</f>
        <v/>
      </c>
      <c r="M27" s="6">
        <f>IF(D27="","",MAX(0,K27-L27-'Tham số'!$B$3-N(G27)*'Tham số'!$B$4))</f>
        <v/>
      </c>
      <c r="N27" s="6">
        <f>IF(D27="","",ROUND(SUMPRODUCT(--(M27&gt;'Tham số'!$A$10:$A$16),M27-'Tham số'!$A$10:$A$16,'Tham số'!$C$10:$C$16),0))</f>
        <v/>
      </c>
      <c r="O27" s="6">
        <f>IF(D27="","",K27-L27-N27)</f>
        <v/>
      </c>
      <c r="P27">
        <f>IF(E27="","",IF(E27&gt;=IF(N($B$5)=0,26,$B$5),"Đủ công",IF(E27&gt;=IF(N($B$5)=0,26,$B$5)-3,"Thiếu ít","Thiếu nhiều")))</f>
        <v/>
      </c>
    </row>
    <row r="28" spans="1:16">
      <c r="A28" s="3"/>
      <c r="B28" s="3"/>
      <c r="C28" s="3"/>
      <c r="D28" s="4"/>
      <c r="E28" s="4"/>
      <c r="F28" s="4"/>
      <c r="G28" s="4"/>
      <c r="H28" s="6">
        <f>IF(C28="","",IFERROR(VLOOKUP(C28,'Tham số'!$A$20:$B$25,2,FALSE),0))</f>
        <v/>
      </c>
      <c r="I28" s="6">
        <f>IF(D28="","",ROUND(D28*E28/IF(N($B$5)=0,26,$B$5),0))</f>
        <v/>
      </c>
      <c r="J28" s="6">
        <f>IF(D28="","",ROUND(D28/IF(N($B$5)=0,26,$B$5)/8*1.5*N(F28),0))</f>
        <v/>
      </c>
      <c r="K28" s="6">
        <f>IF(D28="","",I28+J28+N(H28))</f>
        <v/>
      </c>
      <c r="L28" s="6">
        <f>IF(D28="","",ROUND(MIN(D28,'Tham số'!$B$6)*'Tham số'!$B$5,0))</f>
        <v/>
      </c>
      <c r="M28" s="6">
        <f>IF(D28="","",MAX(0,K28-L28-'Tham số'!$B$3-N(G28)*'Tham số'!$B$4))</f>
        <v/>
      </c>
      <c r="N28" s="6">
        <f>IF(D28="","",ROUND(SUMPRODUCT(--(M28&gt;'Tham số'!$A$10:$A$16),M28-'Tham số'!$A$10:$A$16,'Tham số'!$C$10:$C$16),0))</f>
        <v/>
      </c>
      <c r="O28" s="6">
        <f>IF(D28="","",K28-L28-N28)</f>
        <v/>
      </c>
      <c r="P28">
        <f>IF(E28="","",IF(E28&gt;=IF(N($B$5)=0,26,$B$5),"Đủ công",IF(E28&gt;=IF(N($B$5)=0,26,$B$5)-3,"Thiếu ít","Thiếu nhiều")))</f>
        <v/>
      </c>
    </row>
    <row r="29" spans="1:16">
      <c r="A29" s="3"/>
      <c r="B29" s="3"/>
      <c r="C29" s="3"/>
      <c r="D29" s="4"/>
      <c r="E29" s="4"/>
      <c r="F29" s="4"/>
      <c r="G29" s="4"/>
      <c r="H29" s="6">
        <f>IF(C29="","",IFERROR(VLOOKUP(C29,'Tham số'!$A$20:$B$25,2,FALSE),0))</f>
        <v/>
      </c>
      <c r="I29" s="6">
        <f>IF(D29="","",ROUND(D29*E29/IF(N($B$5)=0,26,$B$5),0))</f>
        <v/>
      </c>
      <c r="J29" s="6">
        <f>IF(D29="","",ROUND(D29/IF(N($B$5)=0,26,$B$5)/8*1.5*N(F29),0))</f>
        <v/>
      </c>
      <c r="K29" s="6">
        <f>IF(D29="","",I29+J29+N(H29))</f>
        <v/>
      </c>
      <c r="L29" s="6">
        <f>IF(D29="","",ROUND(MIN(D29,'Tham số'!$B$6)*'Tham số'!$B$5,0))</f>
        <v/>
      </c>
      <c r="M29" s="6">
        <f>IF(D29="","",MAX(0,K29-L29-'Tham số'!$B$3-N(G29)*'Tham số'!$B$4))</f>
        <v/>
      </c>
      <c r="N29" s="6">
        <f>IF(D29="","",ROUND(SUMPRODUCT(--(M29&gt;'Tham số'!$A$10:$A$16),M29-'Tham số'!$A$10:$A$16,'Tham số'!$C$10:$C$16),0))</f>
        <v/>
      </c>
      <c r="O29" s="6">
        <f>IF(D29="","",K29-L29-N29)</f>
        <v/>
      </c>
      <c r="P29">
        <f>IF(E29="","",IF(E29&gt;=IF(N($B$5)=0,26,$B$5),"Đủ công",IF(E29&gt;=IF(N($B$5)=0,26,$B$5)-3,"Thiếu ít","Thiếu nhiều")))</f>
        <v/>
      </c>
    </row>
    <row r="30" spans="1:16">
      <c r="A30" s="3"/>
      <c r="B30" s="3"/>
      <c r="C30" s="3"/>
      <c r="D30" s="4"/>
      <c r="E30" s="4"/>
      <c r="F30" s="4"/>
      <c r="G30" s="4"/>
      <c r="H30" s="6">
        <f>IF(C30="","",IFERROR(VLOOKUP(C30,'Tham số'!$A$20:$B$25,2,FALSE),0))</f>
        <v/>
      </c>
      <c r="I30" s="6">
        <f>IF(D30="","",ROUND(D30*E30/IF(N($B$5)=0,26,$B$5),0))</f>
        <v/>
      </c>
      <c r="J30" s="6">
        <f>IF(D30="","",ROUND(D30/IF(N($B$5)=0,26,$B$5)/8*1.5*N(F30),0))</f>
        <v/>
      </c>
      <c r="K30" s="6">
        <f>IF(D30="","",I30+J30+N(H30))</f>
        <v/>
      </c>
      <c r="L30" s="6">
        <f>IF(D30="","",ROUND(MIN(D30,'Tham số'!$B$6)*'Tham số'!$B$5,0))</f>
        <v/>
      </c>
      <c r="M30" s="6">
        <f>IF(D30="","",MAX(0,K30-L30-'Tham số'!$B$3-N(G30)*'Tham số'!$B$4))</f>
        <v/>
      </c>
      <c r="N30" s="6">
        <f>IF(D30="","",ROUND(SUMPRODUCT(--(M30&gt;'Tham số'!$A$10:$A$16),M30-'Tham số'!$A$10:$A$16,'Tham số'!$C$10:$C$16),0))</f>
        <v/>
      </c>
      <c r="O30" s="6">
        <f>IF(D30="","",K30-L30-N30)</f>
        <v/>
      </c>
      <c r="P30">
        <f>IF(E30="","",IF(E30&gt;=IF(N($B$5)=0,26,$B$5),"Đủ công",IF(E30&gt;=IF(N($B$5)=0,26,$B$5)-3,"Thiếu ít","Thiếu nhiều")))</f>
        <v/>
      </c>
    </row>
    <row r="31" spans="1:16">
      <c r="A31" s="3"/>
      <c r="B31" s="3"/>
      <c r="C31" s="3"/>
      <c r="D31" s="4"/>
      <c r="E31" s="4"/>
      <c r="F31" s="4"/>
      <c r="G31" s="4"/>
      <c r="H31" s="6">
        <f>IF(C31="","",IFERROR(VLOOKUP(C31,'Tham số'!$A$20:$B$25,2,FALSE),0))</f>
        <v/>
      </c>
      <c r="I31" s="6">
        <f>IF(D31="","",ROUND(D31*E31/IF(N($B$5)=0,26,$B$5),0))</f>
        <v/>
      </c>
      <c r="J31" s="6">
        <f>IF(D31="","",ROUND(D31/IF(N($B$5)=0,26,$B$5)/8*1.5*N(F31),0))</f>
        <v/>
      </c>
      <c r="K31" s="6">
        <f>IF(D31="","",I31+J31+N(H31))</f>
        <v/>
      </c>
      <c r="L31" s="6">
        <f>IF(D31="","",ROUND(MIN(D31,'Tham số'!$B$6)*'Tham số'!$B$5,0))</f>
        <v/>
      </c>
      <c r="M31" s="6">
        <f>IF(D31="","",MAX(0,K31-L31-'Tham số'!$B$3-N(G31)*'Tham số'!$B$4))</f>
        <v/>
      </c>
      <c r="N31" s="6">
        <f>IF(D31="","",ROUND(SUMPRODUCT(--(M31&gt;'Tham số'!$A$10:$A$16),M31-'Tham số'!$A$10:$A$16,'Tham số'!$C$10:$C$16),0))</f>
        <v/>
      </c>
      <c r="O31" s="6">
        <f>IF(D31="","",K31-L31-N31)</f>
        <v/>
      </c>
      <c r="P31">
        <f>IF(E31="","",IF(E31&gt;=IF(N($B$5)=0,26,$B$5),"Đủ công",IF(E31&gt;=IF(N($B$5)=0,26,$B$5)-3,"Thiếu ít","Thiếu nhiều")))</f>
        <v/>
      </c>
    </row>
    <row r="32" spans="1:16">
      <c r="A32" s="3"/>
      <c r="B32" s="3"/>
      <c r="C32" s="3"/>
      <c r="D32" s="4"/>
      <c r="E32" s="4"/>
      <c r="F32" s="4"/>
      <c r="G32" s="4"/>
      <c r="H32" s="6">
        <f>IF(C32="","",IFERROR(VLOOKUP(C32,'Tham số'!$A$20:$B$25,2,FALSE),0))</f>
        <v/>
      </c>
      <c r="I32" s="6">
        <f>IF(D32="","",ROUND(D32*E32/IF(N($B$5)=0,26,$B$5),0))</f>
        <v/>
      </c>
      <c r="J32" s="6">
        <f>IF(D32="","",ROUND(D32/IF(N($B$5)=0,26,$B$5)/8*1.5*N(F32),0))</f>
        <v/>
      </c>
      <c r="K32" s="6">
        <f>IF(D32="","",I32+J32+N(H32))</f>
        <v/>
      </c>
      <c r="L32" s="6">
        <f>IF(D32="","",ROUND(MIN(D32,'Tham số'!$B$6)*'Tham số'!$B$5,0))</f>
        <v/>
      </c>
      <c r="M32" s="6">
        <f>IF(D32="","",MAX(0,K32-L32-'Tham số'!$B$3-N(G32)*'Tham số'!$B$4))</f>
        <v/>
      </c>
      <c r="N32" s="6">
        <f>IF(D32="","",ROUND(SUMPRODUCT(--(M32&gt;'Tham số'!$A$10:$A$16),M32-'Tham số'!$A$10:$A$16,'Tham số'!$C$10:$C$16),0))</f>
        <v/>
      </c>
      <c r="O32" s="6">
        <f>IF(D32="","",K32-L32-N32)</f>
        <v/>
      </c>
      <c r="P32">
        <f>IF(E32="","",IF(E32&gt;=IF(N($B$5)=0,26,$B$5),"Đủ công",IF(E32&gt;=IF(N($B$5)=0,26,$B$5)-3,"Thiếu ít","Thiếu nhiều")))</f>
        <v/>
      </c>
    </row>
    <row r="33" spans="1:16">
      <c r="A33" s="3"/>
      <c r="B33" s="3"/>
      <c r="C33" s="3"/>
      <c r="D33" s="4"/>
      <c r="E33" s="4"/>
      <c r="F33" s="4"/>
      <c r="G33" s="4"/>
      <c r="H33" s="6">
        <f>IF(C33="","",IFERROR(VLOOKUP(C33,'Tham số'!$A$20:$B$25,2,FALSE),0))</f>
        <v/>
      </c>
      <c r="I33" s="6">
        <f>IF(D33="","",ROUND(D33*E33/IF(N($B$5)=0,26,$B$5),0))</f>
        <v/>
      </c>
      <c r="J33" s="6">
        <f>IF(D33="","",ROUND(D33/IF(N($B$5)=0,26,$B$5)/8*1.5*N(F33),0))</f>
        <v/>
      </c>
      <c r="K33" s="6">
        <f>IF(D33="","",I33+J33+N(H33))</f>
        <v/>
      </c>
      <c r="L33" s="6">
        <f>IF(D33="","",ROUND(MIN(D33,'Tham số'!$B$6)*'Tham số'!$B$5,0))</f>
        <v/>
      </c>
      <c r="M33" s="6">
        <f>IF(D33="","",MAX(0,K33-L33-'Tham số'!$B$3-N(G33)*'Tham số'!$B$4))</f>
        <v/>
      </c>
      <c r="N33" s="6">
        <f>IF(D33="","",ROUND(SUMPRODUCT(--(M33&gt;'Tham số'!$A$10:$A$16),M33-'Tham số'!$A$10:$A$16,'Tham số'!$C$10:$C$16),0))</f>
        <v/>
      </c>
      <c r="O33" s="6">
        <f>IF(D33="","",K33-L33-N33)</f>
        <v/>
      </c>
      <c r="P33">
        <f>IF(E33="","",IF(E33&gt;=IF(N($B$5)=0,26,$B$5),"Đủ công",IF(E33&gt;=IF(N($B$5)=0,26,$B$5)-3,"Thiếu ít","Thiếu nhiều")))</f>
        <v/>
      </c>
    </row>
    <row r="34" spans="1:16">
      <c r="A34" s="3"/>
      <c r="B34" s="3"/>
      <c r="C34" s="3"/>
      <c r="D34" s="4"/>
      <c r="E34" s="4"/>
      <c r="F34" s="4"/>
      <c r="G34" s="4"/>
      <c r="H34" s="6">
        <f>IF(C34="","",IFERROR(VLOOKUP(C34,'Tham số'!$A$20:$B$25,2,FALSE),0))</f>
        <v/>
      </c>
      <c r="I34" s="6">
        <f>IF(D34="","",ROUND(D34*E34/IF(N($B$5)=0,26,$B$5),0))</f>
        <v/>
      </c>
      <c r="J34" s="6">
        <f>IF(D34="","",ROUND(D34/IF(N($B$5)=0,26,$B$5)/8*1.5*N(F34),0))</f>
        <v/>
      </c>
      <c r="K34" s="6">
        <f>IF(D34="","",I34+J34+N(H34))</f>
        <v/>
      </c>
      <c r="L34" s="6">
        <f>IF(D34="","",ROUND(MIN(D34,'Tham số'!$B$6)*'Tham số'!$B$5,0))</f>
        <v/>
      </c>
      <c r="M34" s="6">
        <f>IF(D34="","",MAX(0,K34-L34-'Tham số'!$B$3-N(G34)*'Tham số'!$B$4))</f>
        <v/>
      </c>
      <c r="N34" s="6">
        <f>IF(D34="","",ROUND(SUMPRODUCT(--(M34&gt;'Tham số'!$A$10:$A$16),M34-'Tham số'!$A$10:$A$16,'Tham số'!$C$10:$C$16),0))</f>
        <v/>
      </c>
      <c r="O34" s="6">
        <f>IF(D34="","",K34-L34-N34)</f>
        <v/>
      </c>
      <c r="P34">
        <f>IF(E34="","",IF(E34&gt;=IF(N($B$5)=0,26,$B$5),"Đủ công",IF(E34&gt;=IF(N($B$5)=0,26,$B$5)-3,"Thiếu ít","Thiếu nhiều")))</f>
        <v/>
      </c>
    </row>
    <row r="35" spans="1:16">
      <c r="A35" s="3"/>
      <c r="B35" s="3"/>
      <c r="C35" s="3"/>
      <c r="D35" s="4"/>
      <c r="E35" s="4"/>
      <c r="F35" s="4"/>
      <c r="G35" s="4"/>
      <c r="H35" s="6">
        <f>IF(C35="","",IFERROR(VLOOKUP(C35,'Tham số'!$A$20:$B$25,2,FALSE),0))</f>
        <v/>
      </c>
      <c r="I35" s="6">
        <f>IF(D35="","",ROUND(D35*E35/IF(N($B$5)=0,26,$B$5),0))</f>
        <v/>
      </c>
      <c r="J35" s="6">
        <f>IF(D35="","",ROUND(D35/IF(N($B$5)=0,26,$B$5)/8*1.5*N(F35),0))</f>
        <v/>
      </c>
      <c r="K35" s="6">
        <f>IF(D35="","",I35+J35+N(H35))</f>
        <v/>
      </c>
      <c r="L35" s="6">
        <f>IF(D35="","",ROUND(MIN(D35,'Tham số'!$B$6)*'Tham số'!$B$5,0))</f>
        <v/>
      </c>
      <c r="M35" s="6">
        <f>IF(D35="","",MAX(0,K35-L35-'Tham số'!$B$3-N(G35)*'Tham số'!$B$4))</f>
        <v/>
      </c>
      <c r="N35" s="6">
        <f>IF(D35="","",ROUND(SUMPRODUCT(--(M35&gt;'Tham số'!$A$10:$A$16),M35-'Tham số'!$A$10:$A$16,'Tham số'!$C$10:$C$16),0))</f>
        <v/>
      </c>
      <c r="O35" s="6">
        <f>IF(D35="","",K35-L35-N35)</f>
        <v/>
      </c>
      <c r="P35">
        <f>IF(E35="","",IF(E35&gt;=IF(N($B$5)=0,26,$B$5),"Đủ công",IF(E35&gt;=IF(N($B$5)=0,26,$B$5)-3,"Thiếu ít","Thiếu nhiều")))</f>
        <v/>
      </c>
    </row>
    <row r="36" spans="1:16">
      <c r="A36" s="3"/>
      <c r="B36" s="3"/>
      <c r="C36" s="3"/>
      <c r="D36" s="4"/>
      <c r="E36" s="4"/>
      <c r="F36" s="4"/>
      <c r="G36" s="4"/>
      <c r="H36" s="6">
        <f>IF(C36="","",IFERROR(VLOOKUP(C36,'Tham số'!$A$20:$B$25,2,FALSE),0))</f>
        <v/>
      </c>
      <c r="I36" s="6">
        <f>IF(D36="","",ROUND(D36*E36/IF(N($B$5)=0,26,$B$5),0))</f>
        <v/>
      </c>
      <c r="J36" s="6">
        <f>IF(D36="","",ROUND(D36/IF(N($B$5)=0,26,$B$5)/8*1.5*N(F36),0))</f>
        <v/>
      </c>
      <c r="K36" s="6">
        <f>IF(D36="","",I36+J36+N(H36))</f>
        <v/>
      </c>
      <c r="L36" s="6">
        <f>IF(D36="","",ROUND(MIN(D36,'Tham số'!$B$6)*'Tham số'!$B$5,0))</f>
        <v/>
      </c>
      <c r="M36" s="6">
        <f>IF(D36="","",MAX(0,K36-L36-'Tham số'!$B$3-N(G36)*'Tham số'!$B$4))</f>
        <v/>
      </c>
      <c r="N36" s="6">
        <f>IF(D36="","",ROUND(SUMPRODUCT(--(M36&gt;'Tham số'!$A$10:$A$16),M36-'Tham số'!$A$10:$A$16,'Tham số'!$C$10:$C$16),0))</f>
        <v/>
      </c>
      <c r="O36" s="6">
        <f>IF(D36="","",K36-L36-N36)</f>
        <v/>
      </c>
      <c r="P36">
        <f>IF(E36="","",IF(E36&gt;=IF(N($B$5)=0,26,$B$5),"Đủ công",IF(E36&gt;=IF(N($B$5)=0,26,$B$5)-3,"Thiếu ít","Thiếu nhiều")))</f>
        <v/>
      </c>
    </row>
    <row r="37" spans="1:16">
      <c r="A37" s="3"/>
      <c r="B37" s="3"/>
      <c r="C37" s="3"/>
      <c r="D37" s="4"/>
      <c r="E37" s="4"/>
      <c r="F37" s="4"/>
      <c r="G37" s="4"/>
      <c r="H37" s="6">
        <f>IF(C37="","",IFERROR(VLOOKUP(C37,'Tham số'!$A$20:$B$25,2,FALSE),0))</f>
        <v/>
      </c>
      <c r="I37" s="6">
        <f>IF(D37="","",ROUND(D37*E37/IF(N($B$5)=0,26,$B$5),0))</f>
        <v/>
      </c>
      <c r="J37" s="6">
        <f>IF(D37="","",ROUND(D37/IF(N($B$5)=0,26,$B$5)/8*1.5*N(F37),0))</f>
        <v/>
      </c>
      <c r="K37" s="6">
        <f>IF(D37="","",I37+J37+N(H37))</f>
        <v/>
      </c>
      <c r="L37" s="6">
        <f>IF(D37="","",ROUND(MIN(D37,'Tham số'!$B$6)*'Tham số'!$B$5,0))</f>
        <v/>
      </c>
      <c r="M37" s="6">
        <f>IF(D37="","",MAX(0,K37-L37-'Tham số'!$B$3-N(G37)*'Tham số'!$B$4))</f>
        <v/>
      </c>
      <c r="N37" s="6">
        <f>IF(D37="","",ROUND(SUMPRODUCT(--(M37&gt;'Tham số'!$A$10:$A$16),M37-'Tham số'!$A$10:$A$16,'Tham số'!$C$10:$C$16),0))</f>
        <v/>
      </c>
      <c r="O37" s="6">
        <f>IF(D37="","",K37-L37-N37)</f>
        <v/>
      </c>
      <c r="P37">
        <f>IF(E37="","",IF(E37&gt;=IF(N($B$5)=0,26,$B$5),"Đủ công",IF(E37&gt;=IF(N($B$5)=0,26,$B$5)-3,"Thiếu ít","Thiếu nhiều")))</f>
        <v/>
      </c>
    </row>
    <row r="38" spans="1:16">
      <c r="A38" s="3"/>
      <c r="B38" s="3"/>
      <c r="C38" s="3"/>
      <c r="D38" s="4"/>
      <c r="E38" s="4"/>
      <c r="F38" s="4"/>
      <c r="G38" s="4"/>
      <c r="H38" s="6">
        <f>IF(C38="","",IFERROR(VLOOKUP(C38,'Tham số'!$A$20:$B$25,2,FALSE),0))</f>
        <v/>
      </c>
      <c r="I38" s="6">
        <f>IF(D38="","",ROUND(D38*E38/IF(N($B$5)=0,26,$B$5),0))</f>
        <v/>
      </c>
      <c r="J38" s="6">
        <f>IF(D38="","",ROUND(D38/IF(N($B$5)=0,26,$B$5)/8*1.5*N(F38),0))</f>
        <v/>
      </c>
      <c r="K38" s="6">
        <f>IF(D38="","",I38+J38+N(H38))</f>
        <v/>
      </c>
      <c r="L38" s="6">
        <f>IF(D38="","",ROUND(MIN(D38,'Tham số'!$B$6)*'Tham số'!$B$5,0))</f>
        <v/>
      </c>
      <c r="M38" s="6">
        <f>IF(D38="","",MAX(0,K38-L38-'Tham số'!$B$3-N(G38)*'Tham số'!$B$4))</f>
        <v/>
      </c>
      <c r="N38" s="6">
        <f>IF(D38="","",ROUND(SUMPRODUCT(--(M38&gt;'Tham số'!$A$10:$A$16),M38-'Tham số'!$A$10:$A$16,'Tham số'!$C$10:$C$16),0))</f>
        <v/>
      </c>
      <c r="O38" s="6">
        <f>IF(D38="","",K38-L38-N38)</f>
        <v/>
      </c>
      <c r="P38">
        <f>IF(E38="","",IF(E38&gt;=IF(N($B$5)=0,26,$B$5),"Đủ công",IF(E38&gt;=IF(N($B$5)=0,26,$B$5)-3,"Thiếu ít","Thiếu nhiều")))</f>
        <v/>
      </c>
    </row>
    <row r="39" spans="1:16">
      <c r="A39" s="3"/>
      <c r="B39" s="3"/>
      <c r="C39" s="3"/>
      <c r="D39" s="4"/>
      <c r="E39" s="4"/>
      <c r="F39" s="4"/>
      <c r="G39" s="4"/>
      <c r="H39" s="6">
        <f>IF(C39="","",IFERROR(VLOOKUP(C39,'Tham số'!$A$20:$B$25,2,FALSE),0))</f>
        <v/>
      </c>
      <c r="I39" s="6">
        <f>IF(D39="","",ROUND(D39*E39/IF(N($B$5)=0,26,$B$5),0))</f>
        <v/>
      </c>
      <c r="J39" s="6">
        <f>IF(D39="","",ROUND(D39/IF(N($B$5)=0,26,$B$5)/8*1.5*N(F39),0))</f>
        <v/>
      </c>
      <c r="K39" s="6">
        <f>IF(D39="","",I39+J39+N(H39))</f>
        <v/>
      </c>
      <c r="L39" s="6">
        <f>IF(D39="","",ROUND(MIN(D39,'Tham số'!$B$6)*'Tham số'!$B$5,0))</f>
        <v/>
      </c>
      <c r="M39" s="6">
        <f>IF(D39="","",MAX(0,K39-L39-'Tham số'!$B$3-N(G39)*'Tham số'!$B$4))</f>
        <v/>
      </c>
      <c r="N39" s="6">
        <f>IF(D39="","",ROUND(SUMPRODUCT(--(M39&gt;'Tham số'!$A$10:$A$16),M39-'Tham số'!$A$10:$A$16,'Tham số'!$C$10:$C$16),0))</f>
        <v/>
      </c>
      <c r="O39" s="6">
        <f>IF(D39="","",K39-L39-N39)</f>
        <v/>
      </c>
      <c r="P39">
        <f>IF(E39="","",IF(E39&gt;=IF(N($B$5)=0,26,$B$5),"Đủ công",IF(E39&gt;=IF(N($B$5)=0,26,$B$5)-3,"Thiếu ít","Thiếu nhiều")))</f>
        <v/>
      </c>
    </row>
    <row r="40" spans="1:16">
      <c r="A40" s="3"/>
      <c r="B40" s="3"/>
      <c r="C40" s="3"/>
      <c r="D40" s="4"/>
      <c r="E40" s="4"/>
      <c r="F40" s="4"/>
      <c r="G40" s="4"/>
      <c r="H40" s="6">
        <f>IF(C40="","",IFERROR(VLOOKUP(C40,'Tham số'!$A$20:$B$25,2,FALSE),0))</f>
        <v/>
      </c>
      <c r="I40" s="6">
        <f>IF(D40="","",ROUND(D40*E40/IF(N($B$5)=0,26,$B$5),0))</f>
        <v/>
      </c>
      <c r="J40" s="6">
        <f>IF(D40="","",ROUND(D40/IF(N($B$5)=0,26,$B$5)/8*1.5*N(F40),0))</f>
        <v/>
      </c>
      <c r="K40" s="6">
        <f>IF(D40="","",I40+J40+N(H40))</f>
        <v/>
      </c>
      <c r="L40" s="6">
        <f>IF(D40="","",ROUND(MIN(D40,'Tham số'!$B$6)*'Tham số'!$B$5,0))</f>
        <v/>
      </c>
      <c r="M40" s="6">
        <f>IF(D40="","",MAX(0,K40-L40-'Tham số'!$B$3-N(G40)*'Tham số'!$B$4))</f>
        <v/>
      </c>
      <c r="N40" s="6">
        <f>IF(D40="","",ROUND(SUMPRODUCT(--(M40&gt;'Tham số'!$A$10:$A$16),M40-'Tham số'!$A$10:$A$16,'Tham số'!$C$10:$C$16),0))</f>
        <v/>
      </c>
      <c r="O40" s="6">
        <f>IF(D40="","",K40-L40-N40)</f>
        <v/>
      </c>
      <c r="P40">
        <f>IF(E40="","",IF(E40&gt;=IF(N($B$5)=0,26,$B$5),"Đủ công",IF(E40&gt;=IF(N($B$5)=0,26,$B$5)-3,"Thiếu ít","Thiếu nhiều")))</f>
        <v/>
      </c>
    </row>
    <row r="41" spans="1:16">
      <c r="A41" s="3"/>
      <c r="B41" s="3"/>
      <c r="C41" s="3"/>
      <c r="D41" s="4"/>
      <c r="E41" s="4"/>
      <c r="F41" s="4"/>
      <c r="G41" s="4"/>
      <c r="H41" s="6">
        <f>IF(C41="","",IFERROR(VLOOKUP(C41,'Tham số'!$A$20:$B$25,2,FALSE),0))</f>
        <v/>
      </c>
      <c r="I41" s="6">
        <f>IF(D41="","",ROUND(D41*E41/IF(N($B$5)=0,26,$B$5),0))</f>
        <v/>
      </c>
      <c r="J41" s="6">
        <f>IF(D41="","",ROUND(D41/IF(N($B$5)=0,26,$B$5)/8*1.5*N(F41),0))</f>
        <v/>
      </c>
      <c r="K41" s="6">
        <f>IF(D41="","",I41+J41+N(H41))</f>
        <v/>
      </c>
      <c r="L41" s="6">
        <f>IF(D41="","",ROUND(MIN(D41,'Tham số'!$B$6)*'Tham số'!$B$5,0))</f>
        <v/>
      </c>
      <c r="M41" s="6">
        <f>IF(D41="","",MAX(0,K41-L41-'Tham số'!$B$3-N(G41)*'Tham số'!$B$4))</f>
        <v/>
      </c>
      <c r="N41" s="6">
        <f>IF(D41="","",ROUND(SUMPRODUCT(--(M41&gt;'Tham số'!$A$10:$A$16),M41-'Tham số'!$A$10:$A$16,'Tham số'!$C$10:$C$16),0))</f>
        <v/>
      </c>
      <c r="O41" s="6">
        <f>IF(D41="","",K41-L41-N41)</f>
        <v/>
      </c>
      <c r="P41">
        <f>IF(E41="","",IF(E41&gt;=IF(N($B$5)=0,26,$B$5),"Đủ công",IF(E41&gt;=IF(N($B$5)=0,26,$B$5)-3,"Thiếu ít","Thiếu nhiều")))</f>
        <v/>
      </c>
    </row>
    <row r="42" spans="1:16">
      <c r="A42" s="3"/>
      <c r="B42" s="3"/>
      <c r="C42" s="3"/>
      <c r="D42" s="4"/>
      <c r="E42" s="4"/>
      <c r="F42" s="4"/>
      <c r="G42" s="4"/>
      <c r="H42" s="6">
        <f>IF(C42="","",IFERROR(VLOOKUP(C42,'Tham số'!$A$20:$B$25,2,FALSE),0))</f>
        <v/>
      </c>
      <c r="I42" s="6">
        <f>IF(D42="","",ROUND(D42*E42/IF(N($B$5)=0,26,$B$5),0))</f>
        <v/>
      </c>
      <c r="J42" s="6">
        <f>IF(D42="","",ROUND(D42/IF(N($B$5)=0,26,$B$5)/8*1.5*N(F42),0))</f>
        <v/>
      </c>
      <c r="K42" s="6">
        <f>IF(D42="","",I42+J42+N(H42))</f>
        <v/>
      </c>
      <c r="L42" s="6">
        <f>IF(D42="","",ROUND(MIN(D42,'Tham số'!$B$6)*'Tham số'!$B$5,0))</f>
        <v/>
      </c>
      <c r="M42" s="6">
        <f>IF(D42="","",MAX(0,K42-L42-'Tham số'!$B$3-N(G42)*'Tham số'!$B$4))</f>
        <v/>
      </c>
      <c r="N42" s="6">
        <f>IF(D42="","",ROUND(SUMPRODUCT(--(M42&gt;'Tham số'!$A$10:$A$16),M42-'Tham số'!$A$10:$A$16,'Tham số'!$C$10:$C$16),0))</f>
        <v/>
      </c>
      <c r="O42" s="6">
        <f>IF(D42="","",K42-L42-N42)</f>
        <v/>
      </c>
      <c r="P42">
        <f>IF(E42="","",IF(E42&gt;=IF(N($B$5)=0,26,$B$5),"Đủ công",IF(E42&gt;=IF(N($B$5)=0,26,$B$5)-3,"Thiếu ít","Thiếu nhiều")))</f>
        <v/>
      </c>
    </row>
    <row r="43" spans="1:16">
      <c r="A43" s="3"/>
      <c r="B43" s="3"/>
      <c r="C43" s="3"/>
      <c r="D43" s="4"/>
      <c r="E43" s="4"/>
      <c r="F43" s="4"/>
      <c r="G43" s="4"/>
      <c r="H43" s="6">
        <f>IF(C43="","",IFERROR(VLOOKUP(C43,'Tham số'!$A$20:$B$25,2,FALSE),0))</f>
        <v/>
      </c>
      <c r="I43" s="6">
        <f>IF(D43="","",ROUND(D43*E43/IF(N($B$5)=0,26,$B$5),0))</f>
        <v/>
      </c>
      <c r="J43" s="6">
        <f>IF(D43="","",ROUND(D43/IF(N($B$5)=0,26,$B$5)/8*1.5*N(F43),0))</f>
        <v/>
      </c>
      <c r="K43" s="6">
        <f>IF(D43="","",I43+J43+N(H43))</f>
        <v/>
      </c>
      <c r="L43" s="6">
        <f>IF(D43="","",ROUND(MIN(D43,'Tham số'!$B$6)*'Tham số'!$B$5,0))</f>
        <v/>
      </c>
      <c r="M43" s="6">
        <f>IF(D43="","",MAX(0,K43-L43-'Tham số'!$B$3-N(G43)*'Tham số'!$B$4))</f>
        <v/>
      </c>
      <c r="N43" s="6">
        <f>IF(D43="","",ROUND(SUMPRODUCT(--(M43&gt;'Tham số'!$A$10:$A$16),M43-'Tham số'!$A$10:$A$16,'Tham số'!$C$10:$C$16),0))</f>
        <v/>
      </c>
      <c r="O43" s="6">
        <f>IF(D43="","",K43-L43-N43)</f>
        <v/>
      </c>
      <c r="P43">
        <f>IF(E43="","",IF(E43&gt;=IF(N($B$5)=0,26,$B$5),"Đủ công",IF(E43&gt;=IF(N($B$5)=0,26,$B$5)-3,"Thiếu ít","Thiếu nhiều")))</f>
        <v/>
      </c>
    </row>
    <row r="44" spans="1:16">
      <c r="A44" s="3"/>
      <c r="B44" s="3"/>
      <c r="C44" s="3"/>
      <c r="D44" s="4"/>
      <c r="E44" s="4"/>
      <c r="F44" s="4"/>
      <c r="G44" s="4"/>
      <c r="H44" s="6">
        <f>IF(C44="","",IFERROR(VLOOKUP(C44,'Tham số'!$A$20:$B$25,2,FALSE),0))</f>
        <v/>
      </c>
      <c r="I44" s="6">
        <f>IF(D44="","",ROUND(D44*E44/IF(N($B$5)=0,26,$B$5),0))</f>
        <v/>
      </c>
      <c r="J44" s="6">
        <f>IF(D44="","",ROUND(D44/IF(N($B$5)=0,26,$B$5)/8*1.5*N(F44),0))</f>
        <v/>
      </c>
      <c r="K44" s="6">
        <f>IF(D44="","",I44+J44+N(H44))</f>
        <v/>
      </c>
      <c r="L44" s="6">
        <f>IF(D44="","",ROUND(MIN(D44,'Tham số'!$B$6)*'Tham số'!$B$5,0))</f>
        <v/>
      </c>
      <c r="M44" s="6">
        <f>IF(D44="","",MAX(0,K44-L44-'Tham số'!$B$3-N(G44)*'Tham số'!$B$4))</f>
        <v/>
      </c>
      <c r="N44" s="6">
        <f>IF(D44="","",ROUND(SUMPRODUCT(--(M44&gt;'Tham số'!$A$10:$A$16),M44-'Tham số'!$A$10:$A$16,'Tham số'!$C$10:$C$16),0))</f>
        <v/>
      </c>
      <c r="O44" s="6">
        <f>IF(D44="","",K44-L44-N44)</f>
        <v/>
      </c>
      <c r="P44">
        <f>IF(E44="","",IF(E44&gt;=IF(N($B$5)=0,26,$B$5),"Đủ công",IF(E44&gt;=IF(N($B$5)=0,26,$B$5)-3,"Thiếu ít","Thiếu nhiều")))</f>
        <v/>
      </c>
    </row>
    <row r="45" spans="1:16">
      <c r="A45" s="3"/>
      <c r="B45" s="3"/>
      <c r="C45" s="3"/>
      <c r="D45" s="4"/>
      <c r="E45" s="4"/>
      <c r="F45" s="4"/>
      <c r="G45" s="4"/>
      <c r="H45" s="6">
        <f>IF(C45="","",IFERROR(VLOOKUP(C45,'Tham số'!$A$20:$B$25,2,FALSE),0))</f>
        <v/>
      </c>
      <c r="I45" s="6">
        <f>IF(D45="","",ROUND(D45*E45/IF(N($B$5)=0,26,$B$5),0))</f>
        <v/>
      </c>
      <c r="J45" s="6">
        <f>IF(D45="","",ROUND(D45/IF(N($B$5)=0,26,$B$5)/8*1.5*N(F45),0))</f>
        <v/>
      </c>
      <c r="K45" s="6">
        <f>IF(D45="","",I45+J45+N(H45))</f>
        <v/>
      </c>
      <c r="L45" s="6">
        <f>IF(D45="","",ROUND(MIN(D45,'Tham số'!$B$6)*'Tham số'!$B$5,0))</f>
        <v/>
      </c>
      <c r="M45" s="6">
        <f>IF(D45="","",MAX(0,K45-L45-'Tham số'!$B$3-N(G45)*'Tham số'!$B$4))</f>
        <v/>
      </c>
      <c r="N45" s="6">
        <f>IF(D45="","",ROUND(SUMPRODUCT(--(M45&gt;'Tham số'!$A$10:$A$16),M45-'Tham số'!$A$10:$A$16,'Tham số'!$C$10:$C$16),0))</f>
        <v/>
      </c>
      <c r="O45" s="6">
        <f>IF(D45="","",K45-L45-N45)</f>
        <v/>
      </c>
      <c r="P45">
        <f>IF(E45="","",IF(E45&gt;=IF(N($B$5)=0,26,$B$5),"Đủ công",IF(E45&gt;=IF(N($B$5)=0,26,$B$5)-3,"Thiếu ít","Thiếu nhiều")))</f>
        <v/>
      </c>
    </row>
    <row r="46" spans="1:16">
      <c r="A46" s="3"/>
      <c r="B46" s="3"/>
      <c r="C46" s="3"/>
      <c r="D46" s="4"/>
      <c r="E46" s="4"/>
      <c r="F46" s="4"/>
      <c r="G46" s="4"/>
      <c r="H46" s="6">
        <f>IF(C46="","",IFERROR(VLOOKUP(C46,'Tham số'!$A$20:$B$25,2,FALSE),0))</f>
        <v/>
      </c>
      <c r="I46" s="6">
        <f>IF(D46="","",ROUND(D46*E46/IF(N($B$5)=0,26,$B$5),0))</f>
        <v/>
      </c>
      <c r="J46" s="6">
        <f>IF(D46="","",ROUND(D46/IF(N($B$5)=0,26,$B$5)/8*1.5*N(F46),0))</f>
        <v/>
      </c>
      <c r="K46" s="6">
        <f>IF(D46="","",I46+J46+N(H46))</f>
        <v/>
      </c>
      <c r="L46" s="6">
        <f>IF(D46="","",ROUND(MIN(D46,'Tham số'!$B$6)*'Tham số'!$B$5,0))</f>
        <v/>
      </c>
      <c r="M46" s="6">
        <f>IF(D46="","",MAX(0,K46-L46-'Tham số'!$B$3-N(G46)*'Tham số'!$B$4))</f>
        <v/>
      </c>
      <c r="N46" s="6">
        <f>IF(D46="","",ROUND(SUMPRODUCT(--(M46&gt;'Tham số'!$A$10:$A$16),M46-'Tham số'!$A$10:$A$16,'Tham số'!$C$10:$C$16),0))</f>
        <v/>
      </c>
      <c r="O46" s="6">
        <f>IF(D46="","",K46-L46-N46)</f>
        <v/>
      </c>
      <c r="P46">
        <f>IF(E46="","",IF(E46&gt;=IF(N($B$5)=0,26,$B$5),"Đủ công",IF(E46&gt;=IF(N($B$5)=0,26,$B$5)-3,"Thiếu ít","Thiếu nhiều")))</f>
        <v/>
      </c>
    </row>
    <row r="47" spans="1:16">
      <c r="A47" s="3"/>
      <c r="B47" s="3"/>
      <c r="C47" s="3"/>
      <c r="D47" s="4"/>
      <c r="E47" s="4"/>
      <c r="F47" s="4"/>
      <c r="G47" s="4"/>
      <c r="H47" s="6">
        <f>IF(C47="","",IFERROR(VLOOKUP(C47,'Tham số'!$A$20:$B$25,2,FALSE),0))</f>
        <v/>
      </c>
      <c r="I47" s="6">
        <f>IF(D47="","",ROUND(D47*E47/IF(N($B$5)=0,26,$B$5),0))</f>
        <v/>
      </c>
      <c r="J47" s="6">
        <f>IF(D47="","",ROUND(D47/IF(N($B$5)=0,26,$B$5)/8*1.5*N(F47),0))</f>
        <v/>
      </c>
      <c r="K47" s="6">
        <f>IF(D47="","",I47+J47+N(H47))</f>
        <v/>
      </c>
      <c r="L47" s="6">
        <f>IF(D47="","",ROUND(MIN(D47,'Tham số'!$B$6)*'Tham số'!$B$5,0))</f>
        <v/>
      </c>
      <c r="M47" s="6">
        <f>IF(D47="","",MAX(0,K47-L47-'Tham số'!$B$3-N(G47)*'Tham số'!$B$4))</f>
        <v/>
      </c>
      <c r="N47" s="6">
        <f>IF(D47="","",ROUND(SUMPRODUCT(--(M47&gt;'Tham số'!$A$10:$A$16),M47-'Tham số'!$A$10:$A$16,'Tham số'!$C$10:$C$16),0))</f>
        <v/>
      </c>
      <c r="O47" s="6">
        <f>IF(D47="","",K47-L47-N47)</f>
        <v/>
      </c>
      <c r="P47">
        <f>IF(E47="","",IF(E47&gt;=IF(N($B$5)=0,26,$B$5),"Đủ công",IF(E47&gt;=IF(N($B$5)=0,26,$B$5)-3,"Thiếu ít","Thiếu nhiều")))</f>
        <v/>
      </c>
    </row>
    <row r="48" spans="1:16">
      <c r="A48" s="3"/>
      <c r="B48" s="3"/>
      <c r="C48" s="3"/>
      <c r="D48" s="4"/>
      <c r="E48" s="4"/>
      <c r="F48" s="4"/>
      <c r="G48" s="4"/>
      <c r="H48" s="6">
        <f>IF(C48="","",IFERROR(VLOOKUP(C48,'Tham số'!$A$20:$B$25,2,FALSE),0))</f>
        <v/>
      </c>
      <c r="I48" s="6">
        <f>IF(D48="","",ROUND(D48*E48/IF(N($B$5)=0,26,$B$5),0))</f>
        <v/>
      </c>
      <c r="J48" s="6">
        <f>IF(D48="","",ROUND(D48/IF(N($B$5)=0,26,$B$5)/8*1.5*N(F48),0))</f>
        <v/>
      </c>
      <c r="K48" s="6">
        <f>IF(D48="","",I48+J48+N(H48))</f>
        <v/>
      </c>
      <c r="L48" s="6">
        <f>IF(D48="","",ROUND(MIN(D48,'Tham số'!$B$6)*'Tham số'!$B$5,0))</f>
        <v/>
      </c>
      <c r="M48" s="6">
        <f>IF(D48="","",MAX(0,K48-L48-'Tham số'!$B$3-N(G48)*'Tham số'!$B$4))</f>
        <v/>
      </c>
      <c r="N48" s="6">
        <f>IF(D48="","",ROUND(SUMPRODUCT(--(M48&gt;'Tham số'!$A$10:$A$16),M48-'Tham số'!$A$10:$A$16,'Tham số'!$C$10:$C$16),0))</f>
        <v/>
      </c>
      <c r="O48" s="6">
        <f>IF(D48="","",K48-L48-N48)</f>
        <v/>
      </c>
      <c r="P48">
        <f>IF(E48="","",IF(E48&gt;=IF(N($B$5)=0,26,$B$5),"Đủ công",IF(E48&gt;=IF(N($B$5)=0,26,$B$5)-3,"Thiếu ít","Thiếu nhiều")))</f>
        <v/>
      </c>
    </row>
    <row r="49" spans="1:16">
      <c r="A49" s="3"/>
      <c r="B49" s="3"/>
      <c r="C49" s="3"/>
      <c r="D49" s="4"/>
      <c r="E49" s="4"/>
      <c r="F49" s="4"/>
      <c r="G49" s="4"/>
      <c r="H49" s="6">
        <f>IF(C49="","",IFERROR(VLOOKUP(C49,'Tham số'!$A$20:$B$25,2,FALSE),0))</f>
        <v/>
      </c>
      <c r="I49" s="6">
        <f>IF(D49="","",ROUND(D49*E49/IF(N($B$5)=0,26,$B$5),0))</f>
        <v/>
      </c>
      <c r="J49" s="6">
        <f>IF(D49="","",ROUND(D49/IF(N($B$5)=0,26,$B$5)/8*1.5*N(F49),0))</f>
        <v/>
      </c>
      <c r="K49" s="6">
        <f>IF(D49="","",I49+J49+N(H49))</f>
        <v/>
      </c>
      <c r="L49" s="6">
        <f>IF(D49="","",ROUND(MIN(D49,'Tham số'!$B$6)*'Tham số'!$B$5,0))</f>
        <v/>
      </c>
      <c r="M49" s="6">
        <f>IF(D49="","",MAX(0,K49-L49-'Tham số'!$B$3-N(G49)*'Tham số'!$B$4))</f>
        <v/>
      </c>
      <c r="N49" s="6">
        <f>IF(D49="","",ROUND(SUMPRODUCT(--(M49&gt;'Tham số'!$A$10:$A$16),M49-'Tham số'!$A$10:$A$16,'Tham số'!$C$10:$C$16),0))</f>
        <v/>
      </c>
      <c r="O49" s="6">
        <f>IF(D49="","",K49-L49-N49)</f>
        <v/>
      </c>
      <c r="P49">
        <f>IF(E49="","",IF(E49&gt;=IF(N($B$5)=0,26,$B$5),"Đủ công",IF(E49&gt;=IF(N($B$5)=0,26,$B$5)-3,"Thiếu ít","Thiếu nhiều")))</f>
        <v/>
      </c>
    </row>
    <row r="50" spans="1:16">
      <c r="A50" s="3"/>
      <c r="B50" s="3"/>
      <c r="C50" s="3"/>
      <c r="D50" s="4"/>
      <c r="E50" s="4"/>
      <c r="F50" s="4"/>
      <c r="G50" s="4"/>
      <c r="H50" s="6">
        <f>IF(C50="","",IFERROR(VLOOKUP(C50,'Tham số'!$A$20:$B$25,2,FALSE),0))</f>
        <v/>
      </c>
      <c r="I50" s="6">
        <f>IF(D50="","",ROUND(D50*E50/IF(N($B$5)=0,26,$B$5),0))</f>
        <v/>
      </c>
      <c r="J50" s="6">
        <f>IF(D50="","",ROUND(D50/IF(N($B$5)=0,26,$B$5)/8*1.5*N(F50),0))</f>
        <v/>
      </c>
      <c r="K50" s="6">
        <f>IF(D50="","",I50+J50+N(H50))</f>
        <v/>
      </c>
      <c r="L50" s="6">
        <f>IF(D50="","",ROUND(MIN(D50,'Tham số'!$B$6)*'Tham số'!$B$5,0))</f>
        <v/>
      </c>
      <c r="M50" s="6">
        <f>IF(D50="","",MAX(0,K50-L50-'Tham số'!$B$3-N(G50)*'Tham số'!$B$4))</f>
        <v/>
      </c>
      <c r="N50" s="6">
        <f>IF(D50="","",ROUND(SUMPRODUCT(--(M50&gt;'Tham số'!$A$10:$A$16),M50-'Tham số'!$A$10:$A$16,'Tham số'!$C$10:$C$16),0))</f>
        <v/>
      </c>
      <c r="O50" s="6">
        <f>IF(D50="","",K50-L50-N50)</f>
        <v/>
      </c>
      <c r="P50">
        <f>IF(E50="","",IF(E50&gt;=IF(N($B$5)=0,26,$B$5),"Đủ công",IF(E50&gt;=IF(N($B$5)=0,26,$B$5)-3,"Thiếu ít","Thiếu nhiều")))</f>
        <v/>
      </c>
    </row>
    <row r="51" spans="1:16">
      <c r="A51" s="3"/>
      <c r="B51" s="3"/>
      <c r="C51" s="3"/>
      <c r="D51" s="4"/>
      <c r="E51" s="4"/>
      <c r="F51" s="4"/>
      <c r="G51" s="4"/>
      <c r="H51" s="6">
        <f>IF(C51="","",IFERROR(VLOOKUP(C51,'Tham số'!$A$20:$B$25,2,FALSE),0))</f>
        <v/>
      </c>
      <c r="I51" s="6">
        <f>IF(D51="","",ROUND(D51*E51/IF(N($B$5)=0,26,$B$5),0))</f>
        <v/>
      </c>
      <c r="J51" s="6">
        <f>IF(D51="","",ROUND(D51/IF(N($B$5)=0,26,$B$5)/8*1.5*N(F51),0))</f>
        <v/>
      </c>
      <c r="K51" s="6">
        <f>IF(D51="","",I51+J51+N(H51))</f>
        <v/>
      </c>
      <c r="L51" s="6">
        <f>IF(D51="","",ROUND(MIN(D51,'Tham số'!$B$6)*'Tham số'!$B$5,0))</f>
        <v/>
      </c>
      <c r="M51" s="6">
        <f>IF(D51="","",MAX(0,K51-L51-'Tham số'!$B$3-N(G51)*'Tham số'!$B$4))</f>
        <v/>
      </c>
      <c r="N51" s="6">
        <f>IF(D51="","",ROUND(SUMPRODUCT(--(M51&gt;'Tham số'!$A$10:$A$16),M51-'Tham số'!$A$10:$A$16,'Tham số'!$C$10:$C$16),0))</f>
        <v/>
      </c>
      <c r="O51" s="6">
        <f>IF(D51="","",K51-L51-N51)</f>
        <v/>
      </c>
      <c r="P51">
        <f>IF(E51="","",IF(E51&gt;=IF(N($B$5)=0,26,$B$5),"Đủ công",IF(E51&gt;=IF(N($B$5)=0,26,$B$5)-3,"Thiếu ít","Thiếu nhiều")))</f>
        <v/>
      </c>
    </row>
    <row r="52" spans="1:16">
      <c r="A52" s="3"/>
      <c r="B52" s="3"/>
      <c r="C52" s="3"/>
      <c r="D52" s="4"/>
      <c r="E52" s="4"/>
      <c r="F52" s="4"/>
      <c r="G52" s="4"/>
      <c r="H52" s="6">
        <f>IF(C52="","",IFERROR(VLOOKUP(C52,'Tham số'!$A$20:$B$25,2,FALSE),0))</f>
        <v/>
      </c>
      <c r="I52" s="6">
        <f>IF(D52="","",ROUND(D52*E52/IF(N($B$5)=0,26,$B$5),0))</f>
        <v/>
      </c>
      <c r="J52" s="6">
        <f>IF(D52="","",ROUND(D52/IF(N($B$5)=0,26,$B$5)/8*1.5*N(F52),0))</f>
        <v/>
      </c>
      <c r="K52" s="6">
        <f>IF(D52="","",I52+J52+N(H52))</f>
        <v/>
      </c>
      <c r="L52" s="6">
        <f>IF(D52="","",ROUND(MIN(D52,'Tham số'!$B$6)*'Tham số'!$B$5,0))</f>
        <v/>
      </c>
      <c r="M52" s="6">
        <f>IF(D52="","",MAX(0,K52-L52-'Tham số'!$B$3-N(G52)*'Tham số'!$B$4))</f>
        <v/>
      </c>
      <c r="N52" s="6">
        <f>IF(D52="","",ROUND(SUMPRODUCT(--(M52&gt;'Tham số'!$A$10:$A$16),M52-'Tham số'!$A$10:$A$16,'Tham số'!$C$10:$C$16),0))</f>
        <v/>
      </c>
      <c r="O52" s="6">
        <f>IF(D52="","",K52-L52-N52)</f>
        <v/>
      </c>
      <c r="P52">
        <f>IF(E52="","",IF(E52&gt;=IF(N($B$5)=0,26,$B$5),"Đủ công",IF(E52&gt;=IF(N($B$5)=0,26,$B$5)-3,"Thiếu ít","Thiếu nhiều")))</f>
        <v/>
      </c>
    </row>
    <row r="53" spans="1:16">
      <c r="A53" s="3"/>
      <c r="B53" s="3"/>
      <c r="C53" s="3"/>
      <c r="D53" s="4"/>
      <c r="E53" s="4"/>
      <c r="F53" s="4"/>
      <c r="G53" s="4"/>
      <c r="H53" s="6">
        <f>IF(C53="","",IFERROR(VLOOKUP(C53,'Tham số'!$A$20:$B$25,2,FALSE),0))</f>
        <v/>
      </c>
      <c r="I53" s="6">
        <f>IF(D53="","",ROUND(D53*E53/IF(N($B$5)=0,26,$B$5),0))</f>
        <v/>
      </c>
      <c r="J53" s="6">
        <f>IF(D53="","",ROUND(D53/IF(N($B$5)=0,26,$B$5)/8*1.5*N(F53),0))</f>
        <v/>
      </c>
      <c r="K53" s="6">
        <f>IF(D53="","",I53+J53+N(H53))</f>
        <v/>
      </c>
      <c r="L53" s="6">
        <f>IF(D53="","",ROUND(MIN(D53,'Tham số'!$B$6)*'Tham số'!$B$5,0))</f>
        <v/>
      </c>
      <c r="M53" s="6">
        <f>IF(D53="","",MAX(0,K53-L53-'Tham số'!$B$3-N(G53)*'Tham số'!$B$4))</f>
        <v/>
      </c>
      <c r="N53" s="6">
        <f>IF(D53="","",ROUND(SUMPRODUCT(--(M53&gt;'Tham số'!$A$10:$A$16),M53-'Tham số'!$A$10:$A$16,'Tham số'!$C$10:$C$16),0))</f>
        <v/>
      </c>
      <c r="O53" s="6">
        <f>IF(D53="","",K53-L53-N53)</f>
        <v/>
      </c>
      <c r="P53">
        <f>IF(E53="","",IF(E53&gt;=IF(N($B$5)=0,26,$B$5),"Đủ công",IF(E53&gt;=IF(N($B$5)=0,26,$B$5)-3,"Thiếu ít","Thiếu nhiều")))</f>
        <v/>
      </c>
    </row>
    <row r="54" spans="1:16">
      <c r="A54" s="3"/>
      <c r="B54" s="3"/>
      <c r="C54" s="3"/>
      <c r="D54" s="4"/>
      <c r="E54" s="4"/>
      <c r="F54" s="4"/>
      <c r="G54" s="4"/>
      <c r="H54" s="6">
        <f>IF(C54="","",IFERROR(VLOOKUP(C54,'Tham số'!$A$20:$B$25,2,FALSE),0))</f>
        <v/>
      </c>
      <c r="I54" s="6">
        <f>IF(D54="","",ROUND(D54*E54/IF(N($B$5)=0,26,$B$5),0))</f>
        <v/>
      </c>
      <c r="J54" s="6">
        <f>IF(D54="","",ROUND(D54/IF(N($B$5)=0,26,$B$5)/8*1.5*N(F54),0))</f>
        <v/>
      </c>
      <c r="K54" s="6">
        <f>IF(D54="","",I54+J54+N(H54))</f>
        <v/>
      </c>
      <c r="L54" s="6">
        <f>IF(D54="","",ROUND(MIN(D54,'Tham số'!$B$6)*'Tham số'!$B$5,0))</f>
        <v/>
      </c>
      <c r="M54" s="6">
        <f>IF(D54="","",MAX(0,K54-L54-'Tham số'!$B$3-N(G54)*'Tham số'!$B$4))</f>
        <v/>
      </c>
      <c r="N54" s="6">
        <f>IF(D54="","",ROUND(SUMPRODUCT(--(M54&gt;'Tham số'!$A$10:$A$16),M54-'Tham số'!$A$10:$A$16,'Tham số'!$C$10:$C$16),0))</f>
        <v/>
      </c>
      <c r="O54" s="6">
        <f>IF(D54="","",K54-L54-N54)</f>
        <v/>
      </c>
      <c r="P54">
        <f>IF(E54="","",IF(E54&gt;=IF(N($B$5)=0,26,$B$5),"Đủ công",IF(E54&gt;=IF(N($B$5)=0,26,$B$5)-3,"Thiếu ít","Thiếu nhiều")))</f>
        <v/>
      </c>
    </row>
    <row r="55" spans="1:16">
      <c r="A55" s="3"/>
      <c r="B55" s="3"/>
      <c r="C55" s="3"/>
      <c r="D55" s="4"/>
      <c r="E55" s="4"/>
      <c r="F55" s="4"/>
      <c r="G55" s="4"/>
      <c r="H55" s="6">
        <f>IF(C55="","",IFERROR(VLOOKUP(C55,'Tham số'!$A$20:$B$25,2,FALSE),0))</f>
        <v/>
      </c>
      <c r="I55" s="6">
        <f>IF(D55="","",ROUND(D55*E55/IF(N($B$5)=0,26,$B$5),0))</f>
        <v/>
      </c>
      <c r="J55" s="6">
        <f>IF(D55="","",ROUND(D55/IF(N($B$5)=0,26,$B$5)/8*1.5*N(F55),0))</f>
        <v/>
      </c>
      <c r="K55" s="6">
        <f>IF(D55="","",I55+J55+N(H55))</f>
        <v/>
      </c>
      <c r="L55" s="6">
        <f>IF(D55="","",ROUND(MIN(D55,'Tham số'!$B$6)*'Tham số'!$B$5,0))</f>
        <v/>
      </c>
      <c r="M55" s="6">
        <f>IF(D55="","",MAX(0,K55-L55-'Tham số'!$B$3-N(G55)*'Tham số'!$B$4))</f>
        <v/>
      </c>
      <c r="N55" s="6">
        <f>IF(D55="","",ROUND(SUMPRODUCT(--(M55&gt;'Tham số'!$A$10:$A$16),M55-'Tham số'!$A$10:$A$16,'Tham số'!$C$10:$C$16),0))</f>
        <v/>
      </c>
      <c r="O55" s="6">
        <f>IF(D55="","",K55-L55-N55)</f>
        <v/>
      </c>
      <c r="P55">
        <f>IF(E55="","",IF(E55&gt;=IF(N($B$5)=0,26,$B$5),"Đủ công",IF(E55&gt;=IF(N($B$5)=0,26,$B$5)-3,"Thiếu ít","Thiếu nhiều")))</f>
        <v/>
      </c>
    </row>
    <row r="56" spans="1:16">
      <c r="A56" s="3"/>
      <c r="B56" s="3"/>
      <c r="C56" s="3"/>
      <c r="D56" s="4"/>
      <c r="E56" s="4"/>
      <c r="F56" s="4"/>
      <c r="G56" s="4"/>
      <c r="H56" s="6">
        <f>IF(C56="","",IFERROR(VLOOKUP(C56,'Tham số'!$A$20:$B$25,2,FALSE),0))</f>
        <v/>
      </c>
      <c r="I56" s="6">
        <f>IF(D56="","",ROUND(D56*E56/IF(N($B$5)=0,26,$B$5),0))</f>
        <v/>
      </c>
      <c r="J56" s="6">
        <f>IF(D56="","",ROUND(D56/IF(N($B$5)=0,26,$B$5)/8*1.5*N(F56),0))</f>
        <v/>
      </c>
      <c r="K56" s="6">
        <f>IF(D56="","",I56+J56+N(H56))</f>
        <v/>
      </c>
      <c r="L56" s="6">
        <f>IF(D56="","",ROUND(MIN(D56,'Tham số'!$B$6)*'Tham số'!$B$5,0))</f>
        <v/>
      </c>
      <c r="M56" s="6">
        <f>IF(D56="","",MAX(0,K56-L56-'Tham số'!$B$3-N(G56)*'Tham số'!$B$4))</f>
        <v/>
      </c>
      <c r="N56" s="6">
        <f>IF(D56="","",ROUND(SUMPRODUCT(--(M56&gt;'Tham số'!$A$10:$A$16),M56-'Tham số'!$A$10:$A$16,'Tham số'!$C$10:$C$16),0))</f>
        <v/>
      </c>
      <c r="O56" s="6">
        <f>IF(D56="","",K56-L56-N56)</f>
        <v/>
      </c>
      <c r="P56">
        <f>IF(E56="","",IF(E56&gt;=IF(N($B$5)=0,26,$B$5),"Đủ công",IF(E56&gt;=IF(N($B$5)=0,26,$B$5)-3,"Thiếu ít","Thiếu nhiều")))</f>
        <v/>
      </c>
    </row>
    <row r="57" spans="1:16">
      <c r="A57" s="3"/>
      <c r="B57" s="3"/>
      <c r="C57" s="3"/>
      <c r="D57" s="4"/>
      <c r="E57" s="4"/>
      <c r="F57" s="4"/>
      <c r="G57" s="4"/>
      <c r="H57" s="6">
        <f>IF(C57="","",IFERROR(VLOOKUP(C57,'Tham số'!$A$20:$B$25,2,FALSE),0))</f>
        <v/>
      </c>
      <c r="I57" s="6">
        <f>IF(D57="","",ROUND(D57*E57/IF(N($B$5)=0,26,$B$5),0))</f>
        <v/>
      </c>
      <c r="J57" s="6">
        <f>IF(D57="","",ROUND(D57/IF(N($B$5)=0,26,$B$5)/8*1.5*N(F57),0))</f>
        <v/>
      </c>
      <c r="K57" s="6">
        <f>IF(D57="","",I57+J57+N(H57))</f>
        <v/>
      </c>
      <c r="L57" s="6">
        <f>IF(D57="","",ROUND(MIN(D57,'Tham số'!$B$6)*'Tham số'!$B$5,0))</f>
        <v/>
      </c>
      <c r="M57" s="6">
        <f>IF(D57="","",MAX(0,K57-L57-'Tham số'!$B$3-N(G57)*'Tham số'!$B$4))</f>
        <v/>
      </c>
      <c r="N57" s="6">
        <f>IF(D57="","",ROUND(SUMPRODUCT(--(M57&gt;'Tham số'!$A$10:$A$16),M57-'Tham số'!$A$10:$A$16,'Tham số'!$C$10:$C$16),0))</f>
        <v/>
      </c>
      <c r="O57" s="6">
        <f>IF(D57="","",K57-L57-N57)</f>
        <v/>
      </c>
      <c r="P57">
        <f>IF(E57="","",IF(E57&gt;=IF(N($B$5)=0,26,$B$5),"Đủ công",IF(E57&gt;=IF(N($B$5)=0,26,$B$5)-3,"Thiếu ít","Thiếu nhiều")))</f>
        <v/>
      </c>
    </row>
    <row r="58" spans="1:16">
      <c r="A58" s="3"/>
      <c r="B58" s="3"/>
      <c r="C58" s="3"/>
      <c r="D58" s="4"/>
      <c r="E58" s="4"/>
      <c r="F58" s="4"/>
      <c r="G58" s="4"/>
      <c r="H58" s="6">
        <f>IF(C58="","",IFERROR(VLOOKUP(C58,'Tham số'!$A$20:$B$25,2,FALSE),0))</f>
        <v/>
      </c>
      <c r="I58" s="6">
        <f>IF(D58="","",ROUND(D58*E58/IF(N($B$5)=0,26,$B$5),0))</f>
        <v/>
      </c>
      <c r="J58" s="6">
        <f>IF(D58="","",ROUND(D58/IF(N($B$5)=0,26,$B$5)/8*1.5*N(F58),0))</f>
        <v/>
      </c>
      <c r="K58" s="6">
        <f>IF(D58="","",I58+J58+N(H58))</f>
        <v/>
      </c>
      <c r="L58" s="6">
        <f>IF(D58="","",ROUND(MIN(D58,'Tham số'!$B$6)*'Tham số'!$B$5,0))</f>
        <v/>
      </c>
      <c r="M58" s="6">
        <f>IF(D58="","",MAX(0,K58-L58-'Tham số'!$B$3-N(G58)*'Tham số'!$B$4))</f>
        <v/>
      </c>
      <c r="N58" s="6">
        <f>IF(D58="","",ROUND(SUMPRODUCT(--(M58&gt;'Tham số'!$A$10:$A$16),M58-'Tham số'!$A$10:$A$16,'Tham số'!$C$10:$C$16),0))</f>
        <v/>
      </c>
      <c r="O58" s="6">
        <f>IF(D58="","",K58-L58-N58)</f>
        <v/>
      </c>
      <c r="P58">
        <f>IF(E58="","",IF(E58&gt;=IF(N($B$5)=0,26,$B$5),"Đủ công",IF(E58&gt;=IF(N($B$5)=0,26,$B$5)-3,"Thiếu ít","Thiếu nhiều")))</f>
        <v/>
      </c>
    </row>
    <row r="59" spans="1:16">
      <c r="A59" s="3"/>
      <c r="B59" s="3"/>
      <c r="C59" s="3"/>
      <c r="D59" s="4"/>
      <c r="E59" s="4"/>
      <c r="F59" s="4"/>
      <c r="G59" s="4"/>
      <c r="H59" s="6">
        <f>IF(C59="","",IFERROR(VLOOKUP(C59,'Tham số'!$A$20:$B$25,2,FALSE),0))</f>
        <v/>
      </c>
      <c r="I59" s="6">
        <f>IF(D59="","",ROUND(D59*E59/IF(N($B$5)=0,26,$B$5),0))</f>
        <v/>
      </c>
      <c r="J59" s="6">
        <f>IF(D59="","",ROUND(D59/IF(N($B$5)=0,26,$B$5)/8*1.5*N(F59),0))</f>
        <v/>
      </c>
      <c r="K59" s="6">
        <f>IF(D59="","",I59+J59+N(H59))</f>
        <v/>
      </c>
      <c r="L59" s="6">
        <f>IF(D59="","",ROUND(MIN(D59,'Tham số'!$B$6)*'Tham số'!$B$5,0))</f>
        <v/>
      </c>
      <c r="M59" s="6">
        <f>IF(D59="","",MAX(0,K59-L59-'Tham số'!$B$3-N(G59)*'Tham số'!$B$4))</f>
        <v/>
      </c>
      <c r="N59" s="6">
        <f>IF(D59="","",ROUND(SUMPRODUCT(--(M59&gt;'Tham số'!$A$10:$A$16),M59-'Tham số'!$A$10:$A$16,'Tham số'!$C$10:$C$16),0))</f>
        <v/>
      </c>
      <c r="O59" s="6">
        <f>IF(D59="","",K59-L59-N59)</f>
        <v/>
      </c>
      <c r="P59">
        <f>IF(E59="","",IF(E59&gt;=IF(N($B$5)=0,26,$B$5),"Đủ công",IF(E59&gt;=IF(N($B$5)=0,26,$B$5)-3,"Thiếu ít","Thiếu nhiều")))</f>
        <v/>
      </c>
    </row>
    <row r="60" spans="1:16">
      <c r="A60" s="3"/>
      <c r="B60" s="3"/>
      <c r="C60" s="3"/>
      <c r="D60" s="4"/>
      <c r="E60" s="4"/>
      <c r="F60" s="4"/>
      <c r="G60" s="4"/>
      <c r="H60" s="6">
        <f>IF(C60="","",IFERROR(VLOOKUP(C60,'Tham số'!$A$20:$B$25,2,FALSE),0))</f>
        <v/>
      </c>
      <c r="I60" s="6">
        <f>IF(D60="","",ROUND(D60*E60/IF(N($B$5)=0,26,$B$5),0))</f>
        <v/>
      </c>
      <c r="J60" s="6">
        <f>IF(D60="","",ROUND(D60/IF(N($B$5)=0,26,$B$5)/8*1.5*N(F60),0))</f>
        <v/>
      </c>
      <c r="K60" s="6">
        <f>IF(D60="","",I60+J60+N(H60))</f>
        <v/>
      </c>
      <c r="L60" s="6">
        <f>IF(D60="","",ROUND(MIN(D60,'Tham số'!$B$6)*'Tham số'!$B$5,0))</f>
        <v/>
      </c>
      <c r="M60" s="6">
        <f>IF(D60="","",MAX(0,K60-L60-'Tham số'!$B$3-N(G60)*'Tham số'!$B$4))</f>
        <v/>
      </c>
      <c r="N60" s="6">
        <f>IF(D60="","",ROUND(SUMPRODUCT(--(M60&gt;'Tham số'!$A$10:$A$16),M60-'Tham số'!$A$10:$A$16,'Tham số'!$C$10:$C$16),0))</f>
        <v/>
      </c>
      <c r="O60" s="6">
        <f>IF(D60="","",K60-L60-N60)</f>
        <v/>
      </c>
      <c r="P60">
        <f>IF(E60="","",IF(E60&gt;=IF(N($B$5)=0,26,$B$5),"Đủ công",IF(E60&gt;=IF(N($B$5)=0,26,$B$5)-3,"Thiếu ít","Thiếu nhiều")))</f>
        <v/>
      </c>
    </row>
    <row r="61" spans="1:16">
      <c r="A61" s="3"/>
      <c r="B61" s="3"/>
      <c r="C61" s="3"/>
      <c r="D61" s="4"/>
      <c r="E61" s="4"/>
      <c r="F61" s="4"/>
      <c r="G61" s="4"/>
      <c r="H61" s="6">
        <f>IF(C61="","",IFERROR(VLOOKUP(C61,'Tham số'!$A$20:$B$25,2,FALSE),0))</f>
        <v/>
      </c>
      <c r="I61" s="6">
        <f>IF(D61="","",ROUND(D61*E61/IF(N($B$5)=0,26,$B$5),0))</f>
        <v/>
      </c>
      <c r="J61" s="6">
        <f>IF(D61="","",ROUND(D61/IF(N($B$5)=0,26,$B$5)/8*1.5*N(F61),0))</f>
        <v/>
      </c>
      <c r="K61" s="6">
        <f>IF(D61="","",I61+J61+N(H61))</f>
        <v/>
      </c>
      <c r="L61" s="6">
        <f>IF(D61="","",ROUND(MIN(D61,'Tham số'!$B$6)*'Tham số'!$B$5,0))</f>
        <v/>
      </c>
      <c r="M61" s="6">
        <f>IF(D61="","",MAX(0,K61-L61-'Tham số'!$B$3-N(G61)*'Tham số'!$B$4))</f>
        <v/>
      </c>
      <c r="N61" s="6">
        <f>IF(D61="","",ROUND(SUMPRODUCT(--(M61&gt;'Tham số'!$A$10:$A$16),M61-'Tham số'!$A$10:$A$16,'Tham số'!$C$10:$C$16),0))</f>
        <v/>
      </c>
      <c r="O61" s="6">
        <f>IF(D61="","",K61-L61-N61)</f>
        <v/>
      </c>
      <c r="P61">
        <f>IF(E61="","",IF(E61&gt;=IF(N($B$5)=0,26,$B$5),"Đủ công",IF(E61&gt;=IF(N($B$5)=0,26,$B$5)-3,"Thiếu ít","Thiếu nhiều")))</f>
        <v/>
      </c>
    </row>
    <row r="62" spans="1:16">
      <c r="A62" s="3"/>
      <c r="B62" s="3"/>
      <c r="C62" s="3"/>
      <c r="D62" s="4"/>
      <c r="E62" s="4"/>
      <c r="F62" s="4"/>
      <c r="G62" s="4"/>
      <c r="H62" s="6">
        <f>IF(C62="","",IFERROR(VLOOKUP(C62,'Tham số'!$A$20:$B$25,2,FALSE),0))</f>
        <v/>
      </c>
      <c r="I62" s="6">
        <f>IF(D62="","",ROUND(D62*E62/IF(N($B$5)=0,26,$B$5),0))</f>
        <v/>
      </c>
      <c r="J62" s="6">
        <f>IF(D62="","",ROUND(D62/IF(N($B$5)=0,26,$B$5)/8*1.5*N(F62),0))</f>
        <v/>
      </c>
      <c r="K62" s="6">
        <f>IF(D62="","",I62+J62+N(H62))</f>
        <v/>
      </c>
      <c r="L62" s="6">
        <f>IF(D62="","",ROUND(MIN(D62,'Tham số'!$B$6)*'Tham số'!$B$5,0))</f>
        <v/>
      </c>
      <c r="M62" s="6">
        <f>IF(D62="","",MAX(0,K62-L62-'Tham số'!$B$3-N(G62)*'Tham số'!$B$4))</f>
        <v/>
      </c>
      <c r="N62" s="6">
        <f>IF(D62="","",ROUND(SUMPRODUCT(--(M62&gt;'Tham số'!$A$10:$A$16),M62-'Tham số'!$A$10:$A$16,'Tham số'!$C$10:$C$16),0))</f>
        <v/>
      </c>
      <c r="O62" s="6">
        <f>IF(D62="","",K62-L62-N62)</f>
        <v/>
      </c>
      <c r="P62">
        <f>IF(E62="","",IF(E62&gt;=IF(N($B$5)=0,26,$B$5),"Đủ công",IF(E62&gt;=IF(N($B$5)=0,26,$B$5)-3,"Thiếu ít","Thiếu nhiều")))</f>
        <v/>
      </c>
    </row>
    <row r="63" spans="1:16">
      <c r="A63" s="3"/>
      <c r="B63" s="3"/>
      <c r="C63" s="3"/>
      <c r="D63" s="4"/>
      <c r="E63" s="4"/>
      <c r="F63" s="4"/>
      <c r="G63" s="4"/>
      <c r="H63" s="6">
        <f>IF(C63="","",IFERROR(VLOOKUP(C63,'Tham số'!$A$20:$B$25,2,FALSE),0))</f>
        <v/>
      </c>
      <c r="I63" s="6">
        <f>IF(D63="","",ROUND(D63*E63/IF(N($B$5)=0,26,$B$5),0))</f>
        <v/>
      </c>
      <c r="J63" s="6">
        <f>IF(D63="","",ROUND(D63/IF(N($B$5)=0,26,$B$5)/8*1.5*N(F63),0))</f>
        <v/>
      </c>
      <c r="K63" s="6">
        <f>IF(D63="","",I63+J63+N(H63))</f>
        <v/>
      </c>
      <c r="L63" s="6">
        <f>IF(D63="","",ROUND(MIN(D63,'Tham số'!$B$6)*'Tham số'!$B$5,0))</f>
        <v/>
      </c>
      <c r="M63" s="6">
        <f>IF(D63="","",MAX(0,K63-L63-'Tham số'!$B$3-N(G63)*'Tham số'!$B$4))</f>
        <v/>
      </c>
      <c r="N63" s="6">
        <f>IF(D63="","",ROUND(SUMPRODUCT(--(M63&gt;'Tham số'!$A$10:$A$16),M63-'Tham số'!$A$10:$A$16,'Tham số'!$C$10:$C$16),0))</f>
        <v/>
      </c>
      <c r="O63" s="6">
        <f>IF(D63="","",K63-L63-N63)</f>
        <v/>
      </c>
      <c r="P63">
        <f>IF(E63="","",IF(E63&gt;=IF(N($B$5)=0,26,$B$5),"Đủ công",IF(E63&gt;=IF(N($B$5)=0,26,$B$5)-3,"Thiếu ít","Thiếu nhiều")))</f>
        <v/>
      </c>
    </row>
    <row r="64" spans="1:16">
      <c r="A64" s="3"/>
      <c r="B64" s="3"/>
      <c r="C64" s="3"/>
      <c r="D64" s="4"/>
      <c r="E64" s="4"/>
      <c r="F64" s="4"/>
      <c r="G64" s="4"/>
      <c r="H64" s="6">
        <f>IF(C64="","",IFERROR(VLOOKUP(C64,'Tham số'!$A$20:$B$25,2,FALSE),0))</f>
        <v/>
      </c>
      <c r="I64" s="6">
        <f>IF(D64="","",ROUND(D64*E64/IF(N($B$5)=0,26,$B$5),0))</f>
        <v/>
      </c>
      <c r="J64" s="6">
        <f>IF(D64="","",ROUND(D64/IF(N($B$5)=0,26,$B$5)/8*1.5*N(F64),0))</f>
        <v/>
      </c>
      <c r="K64" s="6">
        <f>IF(D64="","",I64+J64+N(H64))</f>
        <v/>
      </c>
      <c r="L64" s="6">
        <f>IF(D64="","",ROUND(MIN(D64,'Tham số'!$B$6)*'Tham số'!$B$5,0))</f>
        <v/>
      </c>
      <c r="M64" s="6">
        <f>IF(D64="","",MAX(0,K64-L64-'Tham số'!$B$3-N(G64)*'Tham số'!$B$4))</f>
        <v/>
      </c>
      <c r="N64" s="6">
        <f>IF(D64="","",ROUND(SUMPRODUCT(--(M64&gt;'Tham số'!$A$10:$A$16),M64-'Tham số'!$A$10:$A$16,'Tham số'!$C$10:$C$16),0))</f>
        <v/>
      </c>
      <c r="O64" s="6">
        <f>IF(D64="","",K64-L64-N64)</f>
        <v/>
      </c>
      <c r="P64">
        <f>IF(E64="","",IF(E64&gt;=IF(N($B$5)=0,26,$B$5),"Đủ công",IF(E64&gt;=IF(N($B$5)=0,26,$B$5)-3,"Thiếu ít","Thiếu nhiều")))</f>
        <v/>
      </c>
    </row>
    <row r="65" spans="1:16">
      <c r="A65" s="3"/>
      <c r="B65" s="3"/>
      <c r="C65" s="3"/>
      <c r="D65" s="4"/>
      <c r="E65" s="4"/>
      <c r="F65" s="4"/>
      <c r="G65" s="4"/>
      <c r="H65" s="6">
        <f>IF(C65="","",IFERROR(VLOOKUP(C65,'Tham số'!$A$20:$B$25,2,FALSE),0))</f>
        <v/>
      </c>
      <c r="I65" s="6">
        <f>IF(D65="","",ROUND(D65*E65/IF(N($B$5)=0,26,$B$5),0))</f>
        <v/>
      </c>
      <c r="J65" s="6">
        <f>IF(D65="","",ROUND(D65/IF(N($B$5)=0,26,$B$5)/8*1.5*N(F65),0))</f>
        <v/>
      </c>
      <c r="K65" s="6">
        <f>IF(D65="","",I65+J65+N(H65))</f>
        <v/>
      </c>
      <c r="L65" s="6">
        <f>IF(D65="","",ROUND(MIN(D65,'Tham số'!$B$6)*'Tham số'!$B$5,0))</f>
        <v/>
      </c>
      <c r="M65" s="6">
        <f>IF(D65="","",MAX(0,K65-L65-'Tham số'!$B$3-N(G65)*'Tham số'!$B$4))</f>
        <v/>
      </c>
      <c r="N65" s="6">
        <f>IF(D65="","",ROUND(SUMPRODUCT(--(M65&gt;'Tham số'!$A$10:$A$16),M65-'Tham số'!$A$10:$A$16,'Tham số'!$C$10:$C$16),0))</f>
        <v/>
      </c>
      <c r="O65" s="6">
        <f>IF(D65="","",K65-L65-N65)</f>
        <v/>
      </c>
      <c r="P65">
        <f>IF(E65="","",IF(E65&gt;=IF(N($B$5)=0,26,$B$5),"Đủ công",IF(E65&gt;=IF(N($B$5)=0,26,$B$5)-3,"Thiếu ít","Thiếu nhiều")))</f>
        <v/>
      </c>
    </row>
    <row r="66" spans="1:16">
      <c r="A66" s="3"/>
      <c r="B66" s="3"/>
      <c r="C66" s="3"/>
      <c r="D66" s="4"/>
      <c r="E66" s="4"/>
      <c r="F66" s="4"/>
      <c r="G66" s="4"/>
      <c r="H66" s="6">
        <f>IF(C66="","",IFERROR(VLOOKUP(C66,'Tham số'!$A$20:$B$25,2,FALSE),0))</f>
        <v/>
      </c>
      <c r="I66" s="6">
        <f>IF(D66="","",ROUND(D66*E66/IF(N($B$5)=0,26,$B$5),0))</f>
        <v/>
      </c>
      <c r="J66" s="6">
        <f>IF(D66="","",ROUND(D66/IF(N($B$5)=0,26,$B$5)/8*1.5*N(F66),0))</f>
        <v/>
      </c>
      <c r="K66" s="6">
        <f>IF(D66="","",I66+J66+N(H66))</f>
        <v/>
      </c>
      <c r="L66" s="6">
        <f>IF(D66="","",ROUND(MIN(D66,'Tham số'!$B$6)*'Tham số'!$B$5,0))</f>
        <v/>
      </c>
      <c r="M66" s="6">
        <f>IF(D66="","",MAX(0,K66-L66-'Tham số'!$B$3-N(G66)*'Tham số'!$B$4))</f>
        <v/>
      </c>
      <c r="N66" s="6">
        <f>IF(D66="","",ROUND(SUMPRODUCT(--(M66&gt;'Tham số'!$A$10:$A$16),M66-'Tham số'!$A$10:$A$16,'Tham số'!$C$10:$C$16),0))</f>
        <v/>
      </c>
      <c r="O66" s="6">
        <f>IF(D66="","",K66-L66-N66)</f>
        <v/>
      </c>
      <c r="P66">
        <f>IF(E66="","",IF(E66&gt;=IF(N($B$5)=0,26,$B$5),"Đủ công",IF(E66&gt;=IF(N($B$5)=0,26,$B$5)-3,"Thiếu ít","Thiếu nhiều")))</f>
        <v/>
      </c>
    </row>
    <row r="67" spans="1:16">
      <c r="A67" s="3"/>
      <c r="B67" s="3"/>
      <c r="C67" s="3"/>
      <c r="D67" s="4"/>
      <c r="E67" s="4"/>
      <c r="F67" s="4"/>
      <c r="G67" s="4"/>
      <c r="H67" s="6">
        <f>IF(C67="","",IFERROR(VLOOKUP(C67,'Tham số'!$A$20:$B$25,2,FALSE),0))</f>
        <v/>
      </c>
      <c r="I67" s="6">
        <f>IF(D67="","",ROUND(D67*E67/IF(N($B$5)=0,26,$B$5),0))</f>
        <v/>
      </c>
      <c r="J67" s="6">
        <f>IF(D67="","",ROUND(D67/IF(N($B$5)=0,26,$B$5)/8*1.5*N(F67),0))</f>
        <v/>
      </c>
      <c r="K67" s="6">
        <f>IF(D67="","",I67+J67+N(H67))</f>
        <v/>
      </c>
      <c r="L67" s="6">
        <f>IF(D67="","",ROUND(MIN(D67,'Tham số'!$B$6)*'Tham số'!$B$5,0))</f>
        <v/>
      </c>
      <c r="M67" s="6">
        <f>IF(D67="","",MAX(0,K67-L67-'Tham số'!$B$3-N(G67)*'Tham số'!$B$4))</f>
        <v/>
      </c>
      <c r="N67" s="6">
        <f>IF(D67="","",ROUND(SUMPRODUCT(--(M67&gt;'Tham số'!$A$10:$A$16),M67-'Tham số'!$A$10:$A$16,'Tham số'!$C$10:$C$16),0))</f>
        <v/>
      </c>
      <c r="O67" s="6">
        <f>IF(D67="","",K67-L67-N67)</f>
        <v/>
      </c>
      <c r="P67">
        <f>IF(E67="","",IF(E67&gt;=IF(N($B$5)=0,26,$B$5),"Đủ công",IF(E67&gt;=IF(N($B$5)=0,26,$B$5)-3,"Thiếu ít","Thiếu nhiều")))</f>
        <v/>
      </c>
    </row>
    <row r="68" spans="1:16">
      <c r="A68" s="3"/>
      <c r="B68" s="3"/>
      <c r="C68" s="3"/>
      <c r="D68" s="4"/>
      <c r="E68" s="4"/>
      <c r="F68" s="4"/>
      <c r="G68" s="4"/>
      <c r="H68" s="6">
        <f>IF(C68="","",IFERROR(VLOOKUP(C68,'Tham số'!$A$20:$B$25,2,FALSE),0))</f>
        <v/>
      </c>
      <c r="I68" s="6">
        <f>IF(D68="","",ROUND(D68*E68/IF(N($B$5)=0,26,$B$5),0))</f>
        <v/>
      </c>
      <c r="J68" s="6">
        <f>IF(D68="","",ROUND(D68/IF(N($B$5)=0,26,$B$5)/8*1.5*N(F68),0))</f>
        <v/>
      </c>
      <c r="K68" s="6">
        <f>IF(D68="","",I68+J68+N(H68))</f>
        <v/>
      </c>
      <c r="L68" s="6">
        <f>IF(D68="","",ROUND(MIN(D68,'Tham số'!$B$6)*'Tham số'!$B$5,0))</f>
        <v/>
      </c>
      <c r="M68" s="6">
        <f>IF(D68="","",MAX(0,K68-L68-'Tham số'!$B$3-N(G68)*'Tham số'!$B$4))</f>
        <v/>
      </c>
      <c r="N68" s="6">
        <f>IF(D68="","",ROUND(SUMPRODUCT(--(M68&gt;'Tham số'!$A$10:$A$16),M68-'Tham số'!$A$10:$A$16,'Tham số'!$C$10:$C$16),0))</f>
        <v/>
      </c>
      <c r="O68" s="6">
        <f>IF(D68="","",K68-L68-N68)</f>
        <v/>
      </c>
      <c r="P68">
        <f>IF(E68="","",IF(E68&gt;=IF(N($B$5)=0,26,$B$5),"Đủ công",IF(E68&gt;=IF(N($B$5)=0,26,$B$5)-3,"Thiếu ít","Thiếu nhiều")))</f>
        <v/>
      </c>
    </row>
    <row r="69" spans="1:16">
      <c r="A69" s="3"/>
      <c r="B69" s="3"/>
      <c r="C69" s="3"/>
      <c r="D69" s="4"/>
      <c r="E69" s="4"/>
      <c r="F69" s="4"/>
      <c r="G69" s="4"/>
      <c r="H69" s="6">
        <f>IF(C69="","",IFERROR(VLOOKUP(C69,'Tham số'!$A$20:$B$25,2,FALSE),0))</f>
        <v/>
      </c>
      <c r="I69" s="6">
        <f>IF(D69="","",ROUND(D69*E69/IF(N($B$5)=0,26,$B$5),0))</f>
        <v/>
      </c>
      <c r="J69" s="6">
        <f>IF(D69="","",ROUND(D69/IF(N($B$5)=0,26,$B$5)/8*1.5*N(F69),0))</f>
        <v/>
      </c>
      <c r="K69" s="6">
        <f>IF(D69="","",I69+J69+N(H69))</f>
        <v/>
      </c>
      <c r="L69" s="6">
        <f>IF(D69="","",ROUND(MIN(D69,'Tham số'!$B$6)*'Tham số'!$B$5,0))</f>
        <v/>
      </c>
      <c r="M69" s="6">
        <f>IF(D69="","",MAX(0,K69-L69-'Tham số'!$B$3-N(G69)*'Tham số'!$B$4))</f>
        <v/>
      </c>
      <c r="N69" s="6">
        <f>IF(D69="","",ROUND(SUMPRODUCT(--(M69&gt;'Tham số'!$A$10:$A$16),M69-'Tham số'!$A$10:$A$16,'Tham số'!$C$10:$C$16),0))</f>
        <v/>
      </c>
      <c r="O69" s="6">
        <f>IF(D69="","",K69-L69-N69)</f>
        <v/>
      </c>
      <c r="P69">
        <f>IF(E69="","",IF(E69&gt;=IF(N($B$5)=0,26,$B$5),"Đủ công",IF(E69&gt;=IF(N($B$5)=0,26,$B$5)-3,"Thiếu ít","Thiếu nhiều")))</f>
        <v/>
      </c>
    </row>
    <row r="70" spans="1:16">
      <c r="A70" s="3"/>
      <c r="B70" s="3"/>
      <c r="C70" s="3"/>
      <c r="D70" s="4"/>
      <c r="E70" s="4"/>
      <c r="F70" s="4"/>
      <c r="G70" s="4"/>
      <c r="H70" s="6">
        <f>IF(C70="","",IFERROR(VLOOKUP(C70,'Tham số'!$A$20:$B$25,2,FALSE),0))</f>
        <v/>
      </c>
      <c r="I70" s="6">
        <f>IF(D70="","",ROUND(D70*E70/IF(N($B$5)=0,26,$B$5),0))</f>
        <v/>
      </c>
      <c r="J70" s="6">
        <f>IF(D70="","",ROUND(D70/IF(N($B$5)=0,26,$B$5)/8*1.5*N(F70),0))</f>
        <v/>
      </c>
      <c r="K70" s="6">
        <f>IF(D70="","",I70+J70+N(H70))</f>
        <v/>
      </c>
      <c r="L70" s="6">
        <f>IF(D70="","",ROUND(MIN(D70,'Tham số'!$B$6)*'Tham số'!$B$5,0))</f>
        <v/>
      </c>
      <c r="M70" s="6">
        <f>IF(D70="","",MAX(0,K70-L70-'Tham số'!$B$3-N(G70)*'Tham số'!$B$4))</f>
        <v/>
      </c>
      <c r="N70" s="6">
        <f>IF(D70="","",ROUND(SUMPRODUCT(--(M70&gt;'Tham số'!$A$10:$A$16),M70-'Tham số'!$A$10:$A$16,'Tham số'!$C$10:$C$16),0))</f>
        <v/>
      </c>
      <c r="O70" s="6">
        <f>IF(D70="","",K70-L70-N70)</f>
        <v/>
      </c>
      <c r="P70">
        <f>IF(E70="","",IF(E70&gt;=IF(N($B$5)=0,26,$B$5),"Đủ công",IF(E70&gt;=IF(N($B$5)=0,26,$B$5)-3,"Thiếu ít","Thiếu nhiều")))</f>
        <v/>
      </c>
    </row>
    <row r="71" spans="1:16">
      <c r="A71" s="3"/>
      <c r="B71" s="3"/>
      <c r="C71" s="3"/>
      <c r="D71" s="4"/>
      <c r="E71" s="4"/>
      <c r="F71" s="4"/>
      <c r="G71" s="4"/>
      <c r="H71" s="6">
        <f>IF(C71="","",IFERROR(VLOOKUP(C71,'Tham số'!$A$20:$B$25,2,FALSE),0))</f>
        <v/>
      </c>
      <c r="I71" s="6">
        <f>IF(D71="","",ROUND(D71*E71/IF(N($B$5)=0,26,$B$5),0))</f>
        <v/>
      </c>
      <c r="J71" s="6">
        <f>IF(D71="","",ROUND(D71/IF(N($B$5)=0,26,$B$5)/8*1.5*N(F71),0))</f>
        <v/>
      </c>
      <c r="K71" s="6">
        <f>IF(D71="","",I71+J71+N(H71))</f>
        <v/>
      </c>
      <c r="L71" s="6">
        <f>IF(D71="","",ROUND(MIN(D71,'Tham số'!$B$6)*'Tham số'!$B$5,0))</f>
        <v/>
      </c>
      <c r="M71" s="6">
        <f>IF(D71="","",MAX(0,K71-L71-'Tham số'!$B$3-N(G71)*'Tham số'!$B$4))</f>
        <v/>
      </c>
      <c r="N71" s="6">
        <f>IF(D71="","",ROUND(SUMPRODUCT(--(M71&gt;'Tham số'!$A$10:$A$16),M71-'Tham số'!$A$10:$A$16,'Tham số'!$C$10:$C$16),0))</f>
        <v/>
      </c>
      <c r="O71" s="6">
        <f>IF(D71="","",K71-L71-N71)</f>
        <v/>
      </c>
      <c r="P71">
        <f>IF(E71="","",IF(E71&gt;=IF(N($B$5)=0,26,$B$5),"Đủ công",IF(E71&gt;=IF(N($B$5)=0,26,$B$5)-3,"Thiếu ít","Thiếu nhiều")))</f>
        <v/>
      </c>
    </row>
    <row r="72" spans="1:16">
      <c r="A72" s="3"/>
      <c r="B72" s="3"/>
      <c r="C72" s="3"/>
      <c r="D72" s="4"/>
      <c r="E72" s="4"/>
      <c r="F72" s="4"/>
      <c r="G72" s="4"/>
      <c r="H72" s="6">
        <f>IF(C72="","",IFERROR(VLOOKUP(C72,'Tham số'!$A$20:$B$25,2,FALSE),0))</f>
        <v/>
      </c>
      <c r="I72" s="6">
        <f>IF(D72="","",ROUND(D72*E72/IF(N($B$5)=0,26,$B$5),0))</f>
        <v/>
      </c>
      <c r="J72" s="6">
        <f>IF(D72="","",ROUND(D72/IF(N($B$5)=0,26,$B$5)/8*1.5*N(F72),0))</f>
        <v/>
      </c>
      <c r="K72" s="6">
        <f>IF(D72="","",I72+J72+N(H72))</f>
        <v/>
      </c>
      <c r="L72" s="6">
        <f>IF(D72="","",ROUND(MIN(D72,'Tham số'!$B$6)*'Tham số'!$B$5,0))</f>
        <v/>
      </c>
      <c r="M72" s="6">
        <f>IF(D72="","",MAX(0,K72-L72-'Tham số'!$B$3-N(G72)*'Tham số'!$B$4))</f>
        <v/>
      </c>
      <c r="N72" s="6">
        <f>IF(D72="","",ROUND(SUMPRODUCT(--(M72&gt;'Tham số'!$A$10:$A$16),M72-'Tham số'!$A$10:$A$16,'Tham số'!$C$10:$C$16),0))</f>
        <v/>
      </c>
      <c r="O72" s="6">
        <f>IF(D72="","",K72-L72-N72)</f>
        <v/>
      </c>
      <c r="P72">
        <f>IF(E72="","",IF(E72&gt;=IF(N($B$5)=0,26,$B$5),"Đủ công",IF(E72&gt;=IF(N($B$5)=0,26,$B$5)-3,"Thiếu ít","Thiếu nhiều")))</f>
        <v/>
      </c>
    </row>
    <row r="73" spans="1:16">
      <c r="A73" s="3"/>
      <c r="B73" s="3"/>
      <c r="C73" s="3"/>
      <c r="D73" s="4"/>
      <c r="E73" s="4"/>
      <c r="F73" s="4"/>
      <c r="G73" s="4"/>
      <c r="H73" s="6">
        <f>IF(C73="","",IFERROR(VLOOKUP(C73,'Tham số'!$A$20:$B$25,2,FALSE),0))</f>
        <v/>
      </c>
      <c r="I73" s="6">
        <f>IF(D73="","",ROUND(D73*E73/IF(N($B$5)=0,26,$B$5),0))</f>
        <v/>
      </c>
      <c r="J73" s="6">
        <f>IF(D73="","",ROUND(D73/IF(N($B$5)=0,26,$B$5)/8*1.5*N(F73),0))</f>
        <v/>
      </c>
      <c r="K73" s="6">
        <f>IF(D73="","",I73+J73+N(H73))</f>
        <v/>
      </c>
      <c r="L73" s="6">
        <f>IF(D73="","",ROUND(MIN(D73,'Tham số'!$B$6)*'Tham số'!$B$5,0))</f>
        <v/>
      </c>
      <c r="M73" s="6">
        <f>IF(D73="","",MAX(0,K73-L73-'Tham số'!$B$3-N(G73)*'Tham số'!$B$4))</f>
        <v/>
      </c>
      <c r="N73" s="6">
        <f>IF(D73="","",ROUND(SUMPRODUCT(--(M73&gt;'Tham số'!$A$10:$A$16),M73-'Tham số'!$A$10:$A$16,'Tham số'!$C$10:$C$16),0))</f>
        <v/>
      </c>
      <c r="O73" s="6">
        <f>IF(D73="","",K73-L73-N73)</f>
        <v/>
      </c>
      <c r="P73">
        <f>IF(E73="","",IF(E73&gt;=IF(N($B$5)=0,26,$B$5),"Đủ công",IF(E73&gt;=IF(N($B$5)=0,26,$B$5)-3,"Thiếu ít","Thiếu nhiều")))</f>
        <v/>
      </c>
    </row>
    <row r="74" spans="1:16">
      <c r="A74" s="3"/>
      <c r="B74" s="3"/>
      <c r="C74" s="3"/>
      <c r="D74" s="4"/>
      <c r="E74" s="4"/>
      <c r="F74" s="4"/>
      <c r="G74" s="4"/>
      <c r="H74" s="6">
        <f>IF(C74="","",IFERROR(VLOOKUP(C74,'Tham số'!$A$20:$B$25,2,FALSE),0))</f>
        <v/>
      </c>
      <c r="I74" s="6">
        <f>IF(D74="","",ROUND(D74*E74/IF(N($B$5)=0,26,$B$5),0))</f>
        <v/>
      </c>
      <c r="J74" s="6">
        <f>IF(D74="","",ROUND(D74/IF(N($B$5)=0,26,$B$5)/8*1.5*N(F74),0))</f>
        <v/>
      </c>
      <c r="K74" s="6">
        <f>IF(D74="","",I74+J74+N(H74))</f>
        <v/>
      </c>
      <c r="L74" s="6">
        <f>IF(D74="","",ROUND(MIN(D74,'Tham số'!$B$6)*'Tham số'!$B$5,0))</f>
        <v/>
      </c>
      <c r="M74" s="6">
        <f>IF(D74="","",MAX(0,K74-L74-'Tham số'!$B$3-N(G74)*'Tham số'!$B$4))</f>
        <v/>
      </c>
      <c r="N74" s="6">
        <f>IF(D74="","",ROUND(SUMPRODUCT(--(M74&gt;'Tham số'!$A$10:$A$16),M74-'Tham số'!$A$10:$A$16,'Tham số'!$C$10:$C$16),0))</f>
        <v/>
      </c>
      <c r="O74" s="6">
        <f>IF(D74="","",K74-L74-N74)</f>
        <v/>
      </c>
      <c r="P74">
        <f>IF(E74="","",IF(E74&gt;=IF(N($B$5)=0,26,$B$5),"Đủ công",IF(E74&gt;=IF(N($B$5)=0,26,$B$5)-3,"Thiếu ít","Thiếu nhiều")))</f>
        <v/>
      </c>
    </row>
    <row r="75" spans="1:16">
      <c r="A75" s="3"/>
      <c r="B75" s="3"/>
      <c r="C75" s="3"/>
      <c r="D75" s="4"/>
      <c r="E75" s="4"/>
      <c r="F75" s="4"/>
      <c r="G75" s="4"/>
      <c r="H75" s="6">
        <f>IF(C75="","",IFERROR(VLOOKUP(C75,'Tham số'!$A$20:$B$25,2,FALSE),0))</f>
        <v/>
      </c>
      <c r="I75" s="6">
        <f>IF(D75="","",ROUND(D75*E75/IF(N($B$5)=0,26,$B$5),0))</f>
        <v/>
      </c>
      <c r="J75" s="6">
        <f>IF(D75="","",ROUND(D75/IF(N($B$5)=0,26,$B$5)/8*1.5*N(F75),0))</f>
        <v/>
      </c>
      <c r="K75" s="6">
        <f>IF(D75="","",I75+J75+N(H75))</f>
        <v/>
      </c>
      <c r="L75" s="6">
        <f>IF(D75="","",ROUND(MIN(D75,'Tham số'!$B$6)*'Tham số'!$B$5,0))</f>
        <v/>
      </c>
      <c r="M75" s="6">
        <f>IF(D75="","",MAX(0,K75-L75-'Tham số'!$B$3-N(G75)*'Tham số'!$B$4))</f>
        <v/>
      </c>
      <c r="N75" s="6">
        <f>IF(D75="","",ROUND(SUMPRODUCT(--(M75&gt;'Tham số'!$A$10:$A$16),M75-'Tham số'!$A$10:$A$16,'Tham số'!$C$10:$C$16),0))</f>
        <v/>
      </c>
      <c r="O75" s="6">
        <f>IF(D75="","",K75-L75-N75)</f>
        <v/>
      </c>
      <c r="P75">
        <f>IF(E75="","",IF(E75&gt;=IF(N($B$5)=0,26,$B$5),"Đủ công",IF(E75&gt;=IF(N($B$5)=0,26,$B$5)-3,"Thiếu ít","Thiếu nhiều")))</f>
        <v/>
      </c>
    </row>
    <row r="76" spans="1:16">
      <c r="A76" s="3"/>
      <c r="B76" s="3"/>
      <c r="C76" s="3"/>
      <c r="D76" s="4"/>
      <c r="E76" s="4"/>
      <c r="F76" s="4"/>
      <c r="G76" s="4"/>
      <c r="H76" s="6">
        <f>IF(C76="","",IFERROR(VLOOKUP(C76,'Tham số'!$A$20:$B$25,2,FALSE),0))</f>
        <v/>
      </c>
      <c r="I76" s="6">
        <f>IF(D76="","",ROUND(D76*E76/IF(N($B$5)=0,26,$B$5),0))</f>
        <v/>
      </c>
      <c r="J76" s="6">
        <f>IF(D76="","",ROUND(D76/IF(N($B$5)=0,26,$B$5)/8*1.5*N(F76),0))</f>
        <v/>
      </c>
      <c r="K76" s="6">
        <f>IF(D76="","",I76+J76+N(H76))</f>
        <v/>
      </c>
      <c r="L76" s="6">
        <f>IF(D76="","",ROUND(MIN(D76,'Tham số'!$B$6)*'Tham số'!$B$5,0))</f>
        <v/>
      </c>
      <c r="M76" s="6">
        <f>IF(D76="","",MAX(0,K76-L76-'Tham số'!$B$3-N(G76)*'Tham số'!$B$4))</f>
        <v/>
      </c>
      <c r="N76" s="6">
        <f>IF(D76="","",ROUND(SUMPRODUCT(--(M76&gt;'Tham số'!$A$10:$A$16),M76-'Tham số'!$A$10:$A$16,'Tham số'!$C$10:$C$16),0))</f>
        <v/>
      </c>
      <c r="O76" s="6">
        <f>IF(D76="","",K76-L76-N76)</f>
        <v/>
      </c>
      <c r="P76">
        <f>IF(E76="","",IF(E76&gt;=IF(N($B$5)=0,26,$B$5),"Đủ công",IF(E76&gt;=IF(N($B$5)=0,26,$B$5)-3,"Thiếu ít","Thiếu nhiều")))</f>
        <v/>
      </c>
    </row>
    <row r="77" spans="1:16">
      <c r="A77" s="3"/>
      <c r="B77" s="3"/>
      <c r="C77" s="3"/>
      <c r="D77" s="4"/>
      <c r="E77" s="4"/>
      <c r="F77" s="4"/>
      <c r="G77" s="4"/>
      <c r="H77" s="6">
        <f>IF(C77="","",IFERROR(VLOOKUP(C77,'Tham số'!$A$20:$B$25,2,FALSE),0))</f>
        <v/>
      </c>
      <c r="I77" s="6">
        <f>IF(D77="","",ROUND(D77*E77/IF(N($B$5)=0,26,$B$5),0))</f>
        <v/>
      </c>
      <c r="J77" s="6">
        <f>IF(D77="","",ROUND(D77/IF(N($B$5)=0,26,$B$5)/8*1.5*N(F77),0))</f>
        <v/>
      </c>
      <c r="K77" s="6">
        <f>IF(D77="","",I77+J77+N(H77))</f>
        <v/>
      </c>
      <c r="L77" s="6">
        <f>IF(D77="","",ROUND(MIN(D77,'Tham số'!$B$6)*'Tham số'!$B$5,0))</f>
        <v/>
      </c>
      <c r="M77" s="6">
        <f>IF(D77="","",MAX(0,K77-L77-'Tham số'!$B$3-N(G77)*'Tham số'!$B$4))</f>
        <v/>
      </c>
      <c r="N77" s="6">
        <f>IF(D77="","",ROUND(SUMPRODUCT(--(M77&gt;'Tham số'!$A$10:$A$16),M77-'Tham số'!$A$10:$A$16,'Tham số'!$C$10:$C$16),0))</f>
        <v/>
      </c>
      <c r="O77" s="6">
        <f>IF(D77="","",K77-L77-N77)</f>
        <v/>
      </c>
      <c r="P77">
        <f>IF(E77="","",IF(E77&gt;=IF(N($B$5)=0,26,$B$5),"Đủ công",IF(E77&gt;=IF(N($B$5)=0,26,$B$5)-3,"Thiếu ít","Thiếu nhiều")))</f>
        <v/>
      </c>
    </row>
    <row r="78" spans="1:16">
      <c r="A78" s="3"/>
      <c r="B78" s="3"/>
      <c r="C78" s="3"/>
      <c r="D78" s="4"/>
      <c r="E78" s="4"/>
      <c r="F78" s="4"/>
      <c r="G78" s="4"/>
      <c r="H78" s="6">
        <f>IF(C78="","",IFERROR(VLOOKUP(C78,'Tham số'!$A$20:$B$25,2,FALSE),0))</f>
        <v/>
      </c>
      <c r="I78" s="6">
        <f>IF(D78="","",ROUND(D78*E78/IF(N($B$5)=0,26,$B$5),0))</f>
        <v/>
      </c>
      <c r="J78" s="6">
        <f>IF(D78="","",ROUND(D78/IF(N($B$5)=0,26,$B$5)/8*1.5*N(F78),0))</f>
        <v/>
      </c>
      <c r="K78" s="6">
        <f>IF(D78="","",I78+J78+N(H78))</f>
        <v/>
      </c>
      <c r="L78" s="6">
        <f>IF(D78="","",ROUND(MIN(D78,'Tham số'!$B$6)*'Tham số'!$B$5,0))</f>
        <v/>
      </c>
      <c r="M78" s="6">
        <f>IF(D78="","",MAX(0,K78-L78-'Tham số'!$B$3-N(G78)*'Tham số'!$B$4))</f>
        <v/>
      </c>
      <c r="N78" s="6">
        <f>IF(D78="","",ROUND(SUMPRODUCT(--(M78&gt;'Tham số'!$A$10:$A$16),M78-'Tham số'!$A$10:$A$16,'Tham số'!$C$10:$C$16),0))</f>
        <v/>
      </c>
      <c r="O78" s="6">
        <f>IF(D78="","",K78-L78-N78)</f>
        <v/>
      </c>
      <c r="P78">
        <f>IF(E78="","",IF(E78&gt;=IF(N($B$5)=0,26,$B$5),"Đủ công",IF(E78&gt;=IF(N($B$5)=0,26,$B$5)-3,"Thiếu ít","Thiếu nhiều")))</f>
        <v/>
      </c>
    </row>
    <row r="79" spans="1:16">
      <c r="A79" s="3"/>
      <c r="B79" s="3"/>
      <c r="C79" s="3"/>
      <c r="D79" s="4"/>
      <c r="E79" s="4"/>
      <c r="F79" s="4"/>
      <c r="G79" s="4"/>
      <c r="H79" s="6">
        <f>IF(C79="","",IFERROR(VLOOKUP(C79,'Tham số'!$A$20:$B$25,2,FALSE),0))</f>
        <v/>
      </c>
      <c r="I79" s="6">
        <f>IF(D79="","",ROUND(D79*E79/IF(N($B$5)=0,26,$B$5),0))</f>
        <v/>
      </c>
      <c r="J79" s="6">
        <f>IF(D79="","",ROUND(D79/IF(N($B$5)=0,26,$B$5)/8*1.5*N(F79),0))</f>
        <v/>
      </c>
      <c r="K79" s="6">
        <f>IF(D79="","",I79+J79+N(H79))</f>
        <v/>
      </c>
      <c r="L79" s="6">
        <f>IF(D79="","",ROUND(MIN(D79,'Tham số'!$B$6)*'Tham số'!$B$5,0))</f>
        <v/>
      </c>
      <c r="M79" s="6">
        <f>IF(D79="","",MAX(0,K79-L79-'Tham số'!$B$3-N(G79)*'Tham số'!$B$4))</f>
        <v/>
      </c>
      <c r="N79" s="6">
        <f>IF(D79="","",ROUND(SUMPRODUCT(--(M79&gt;'Tham số'!$A$10:$A$16),M79-'Tham số'!$A$10:$A$16,'Tham số'!$C$10:$C$16),0))</f>
        <v/>
      </c>
      <c r="O79" s="6">
        <f>IF(D79="","",K79-L79-N79)</f>
        <v/>
      </c>
      <c r="P79">
        <f>IF(E79="","",IF(E79&gt;=IF(N($B$5)=0,26,$B$5),"Đủ công",IF(E79&gt;=IF(N($B$5)=0,26,$B$5)-3,"Thiếu ít","Thiếu nhiều")))</f>
        <v/>
      </c>
    </row>
    <row r="80" spans="1:16">
      <c r="A80" s="3"/>
      <c r="B80" s="3"/>
      <c r="C80" s="3"/>
      <c r="D80" s="4"/>
      <c r="E80" s="4"/>
      <c r="F80" s="4"/>
      <c r="G80" s="4"/>
      <c r="H80" s="6">
        <f>IF(C80="","",IFERROR(VLOOKUP(C80,'Tham số'!$A$20:$B$25,2,FALSE),0))</f>
        <v/>
      </c>
      <c r="I80" s="6">
        <f>IF(D80="","",ROUND(D80*E80/IF(N($B$5)=0,26,$B$5),0))</f>
        <v/>
      </c>
      <c r="J80" s="6">
        <f>IF(D80="","",ROUND(D80/IF(N($B$5)=0,26,$B$5)/8*1.5*N(F80),0))</f>
        <v/>
      </c>
      <c r="K80" s="6">
        <f>IF(D80="","",I80+J80+N(H80))</f>
        <v/>
      </c>
      <c r="L80" s="6">
        <f>IF(D80="","",ROUND(MIN(D80,'Tham số'!$B$6)*'Tham số'!$B$5,0))</f>
        <v/>
      </c>
      <c r="M80" s="6">
        <f>IF(D80="","",MAX(0,K80-L80-'Tham số'!$B$3-N(G80)*'Tham số'!$B$4))</f>
        <v/>
      </c>
      <c r="N80" s="6">
        <f>IF(D80="","",ROUND(SUMPRODUCT(--(M80&gt;'Tham số'!$A$10:$A$16),M80-'Tham số'!$A$10:$A$16,'Tham số'!$C$10:$C$16),0))</f>
        <v/>
      </c>
      <c r="O80" s="6">
        <f>IF(D80="","",K80-L80-N80)</f>
        <v/>
      </c>
      <c r="P80">
        <f>IF(E80="","",IF(E80&gt;=IF(N($B$5)=0,26,$B$5),"Đủ công",IF(E80&gt;=IF(N($B$5)=0,26,$B$5)-3,"Thiếu ít","Thiếu nhiều")))</f>
        <v/>
      </c>
    </row>
    <row r="81" spans="1:16">
      <c r="A81" s="3"/>
      <c r="B81" s="3"/>
      <c r="C81" s="3"/>
      <c r="D81" s="4"/>
      <c r="E81" s="4"/>
      <c r="F81" s="4"/>
      <c r="G81" s="4"/>
      <c r="H81" s="6">
        <f>IF(C81="","",IFERROR(VLOOKUP(C81,'Tham số'!$A$20:$B$25,2,FALSE),0))</f>
        <v/>
      </c>
      <c r="I81" s="6">
        <f>IF(D81="","",ROUND(D81*E81/IF(N($B$5)=0,26,$B$5),0))</f>
        <v/>
      </c>
      <c r="J81" s="6">
        <f>IF(D81="","",ROUND(D81/IF(N($B$5)=0,26,$B$5)/8*1.5*N(F81),0))</f>
        <v/>
      </c>
      <c r="K81" s="6">
        <f>IF(D81="","",I81+J81+N(H81))</f>
        <v/>
      </c>
      <c r="L81" s="6">
        <f>IF(D81="","",ROUND(MIN(D81,'Tham số'!$B$6)*'Tham số'!$B$5,0))</f>
        <v/>
      </c>
      <c r="M81" s="6">
        <f>IF(D81="","",MAX(0,K81-L81-'Tham số'!$B$3-N(G81)*'Tham số'!$B$4))</f>
        <v/>
      </c>
      <c r="N81" s="6">
        <f>IF(D81="","",ROUND(SUMPRODUCT(--(M81&gt;'Tham số'!$A$10:$A$16),M81-'Tham số'!$A$10:$A$16,'Tham số'!$C$10:$C$16),0))</f>
        <v/>
      </c>
      <c r="O81" s="6">
        <f>IF(D81="","",K81-L81-N81)</f>
        <v/>
      </c>
      <c r="P81">
        <f>IF(E81="","",IF(E81&gt;=IF(N($B$5)=0,26,$B$5),"Đủ công",IF(E81&gt;=IF(N($B$5)=0,26,$B$5)-3,"Thiếu ít","Thiếu nhiều")))</f>
        <v/>
      </c>
    </row>
    <row r="82" spans="1:16">
      <c r="A82" s="3"/>
      <c r="B82" s="3"/>
      <c r="C82" s="3"/>
      <c r="D82" s="4"/>
      <c r="E82" s="4"/>
      <c r="F82" s="4"/>
      <c r="G82" s="4"/>
      <c r="H82" s="6">
        <f>IF(C82="","",IFERROR(VLOOKUP(C82,'Tham số'!$A$20:$B$25,2,FALSE),0))</f>
        <v/>
      </c>
      <c r="I82" s="6">
        <f>IF(D82="","",ROUND(D82*E82/IF(N($B$5)=0,26,$B$5),0))</f>
        <v/>
      </c>
      <c r="J82" s="6">
        <f>IF(D82="","",ROUND(D82/IF(N($B$5)=0,26,$B$5)/8*1.5*N(F82),0))</f>
        <v/>
      </c>
      <c r="K82" s="6">
        <f>IF(D82="","",I82+J82+N(H82))</f>
        <v/>
      </c>
      <c r="L82" s="6">
        <f>IF(D82="","",ROUND(MIN(D82,'Tham số'!$B$6)*'Tham số'!$B$5,0))</f>
        <v/>
      </c>
      <c r="M82" s="6">
        <f>IF(D82="","",MAX(0,K82-L82-'Tham số'!$B$3-N(G82)*'Tham số'!$B$4))</f>
        <v/>
      </c>
      <c r="N82" s="6">
        <f>IF(D82="","",ROUND(SUMPRODUCT(--(M82&gt;'Tham số'!$A$10:$A$16),M82-'Tham số'!$A$10:$A$16,'Tham số'!$C$10:$C$16),0))</f>
        <v/>
      </c>
      <c r="O82" s="6">
        <f>IF(D82="","",K82-L82-N82)</f>
        <v/>
      </c>
      <c r="P82">
        <f>IF(E82="","",IF(E82&gt;=IF(N($B$5)=0,26,$B$5),"Đủ công",IF(E82&gt;=IF(N($B$5)=0,26,$B$5)-3,"Thiếu ít","Thiếu nhiều")))</f>
        <v/>
      </c>
    </row>
    <row r="83" spans="1:16">
      <c r="A83" s="3"/>
      <c r="B83" s="3"/>
      <c r="C83" s="3"/>
      <c r="D83" s="4"/>
      <c r="E83" s="4"/>
      <c r="F83" s="4"/>
      <c r="G83" s="4"/>
      <c r="H83" s="6">
        <f>IF(C83="","",IFERROR(VLOOKUP(C83,'Tham số'!$A$20:$B$25,2,FALSE),0))</f>
        <v/>
      </c>
      <c r="I83" s="6">
        <f>IF(D83="","",ROUND(D83*E83/IF(N($B$5)=0,26,$B$5),0))</f>
        <v/>
      </c>
      <c r="J83" s="6">
        <f>IF(D83="","",ROUND(D83/IF(N($B$5)=0,26,$B$5)/8*1.5*N(F83),0))</f>
        <v/>
      </c>
      <c r="K83" s="6">
        <f>IF(D83="","",I83+J83+N(H83))</f>
        <v/>
      </c>
      <c r="L83" s="6">
        <f>IF(D83="","",ROUND(MIN(D83,'Tham số'!$B$6)*'Tham số'!$B$5,0))</f>
        <v/>
      </c>
      <c r="M83" s="6">
        <f>IF(D83="","",MAX(0,K83-L83-'Tham số'!$B$3-N(G83)*'Tham số'!$B$4))</f>
        <v/>
      </c>
      <c r="N83" s="6">
        <f>IF(D83="","",ROUND(SUMPRODUCT(--(M83&gt;'Tham số'!$A$10:$A$16),M83-'Tham số'!$A$10:$A$16,'Tham số'!$C$10:$C$16),0))</f>
        <v/>
      </c>
      <c r="O83" s="6">
        <f>IF(D83="","",K83-L83-N83)</f>
        <v/>
      </c>
      <c r="P83">
        <f>IF(E83="","",IF(E83&gt;=IF(N($B$5)=0,26,$B$5),"Đủ công",IF(E83&gt;=IF(N($B$5)=0,26,$B$5)-3,"Thiếu ít","Thiếu nhiều")))</f>
        <v/>
      </c>
    </row>
    <row r="84" spans="1:16">
      <c r="A84" s="3"/>
      <c r="B84" s="3"/>
      <c r="C84" s="3"/>
      <c r="D84" s="4"/>
      <c r="E84" s="4"/>
      <c r="F84" s="4"/>
      <c r="G84" s="4"/>
      <c r="H84" s="6">
        <f>IF(C84="","",IFERROR(VLOOKUP(C84,'Tham số'!$A$20:$B$25,2,FALSE),0))</f>
        <v/>
      </c>
      <c r="I84" s="6">
        <f>IF(D84="","",ROUND(D84*E84/IF(N($B$5)=0,26,$B$5),0))</f>
        <v/>
      </c>
      <c r="J84" s="6">
        <f>IF(D84="","",ROUND(D84/IF(N($B$5)=0,26,$B$5)/8*1.5*N(F84),0))</f>
        <v/>
      </c>
      <c r="K84" s="6">
        <f>IF(D84="","",I84+J84+N(H84))</f>
        <v/>
      </c>
      <c r="L84" s="6">
        <f>IF(D84="","",ROUND(MIN(D84,'Tham số'!$B$6)*'Tham số'!$B$5,0))</f>
        <v/>
      </c>
      <c r="M84" s="6">
        <f>IF(D84="","",MAX(0,K84-L84-'Tham số'!$B$3-N(G84)*'Tham số'!$B$4))</f>
        <v/>
      </c>
      <c r="N84" s="6">
        <f>IF(D84="","",ROUND(SUMPRODUCT(--(M84&gt;'Tham số'!$A$10:$A$16),M84-'Tham số'!$A$10:$A$16,'Tham số'!$C$10:$C$16),0))</f>
        <v/>
      </c>
      <c r="O84" s="6">
        <f>IF(D84="","",K84-L84-N84)</f>
        <v/>
      </c>
      <c r="P84">
        <f>IF(E84="","",IF(E84&gt;=IF(N($B$5)=0,26,$B$5),"Đủ công",IF(E84&gt;=IF(N($B$5)=0,26,$B$5)-3,"Thiếu ít","Thiếu nhiều")))</f>
        <v/>
      </c>
    </row>
    <row r="85" spans="1:16">
      <c r="A85" s="3"/>
      <c r="B85" s="3"/>
      <c r="C85" s="3"/>
      <c r="D85" s="4"/>
      <c r="E85" s="4"/>
      <c r="F85" s="4"/>
      <c r="G85" s="4"/>
      <c r="H85" s="6">
        <f>IF(C85="","",IFERROR(VLOOKUP(C85,'Tham số'!$A$20:$B$25,2,FALSE),0))</f>
        <v/>
      </c>
      <c r="I85" s="6">
        <f>IF(D85="","",ROUND(D85*E85/IF(N($B$5)=0,26,$B$5),0))</f>
        <v/>
      </c>
      <c r="J85" s="6">
        <f>IF(D85="","",ROUND(D85/IF(N($B$5)=0,26,$B$5)/8*1.5*N(F85),0))</f>
        <v/>
      </c>
      <c r="K85" s="6">
        <f>IF(D85="","",I85+J85+N(H85))</f>
        <v/>
      </c>
      <c r="L85" s="6">
        <f>IF(D85="","",ROUND(MIN(D85,'Tham số'!$B$6)*'Tham số'!$B$5,0))</f>
        <v/>
      </c>
      <c r="M85" s="6">
        <f>IF(D85="","",MAX(0,K85-L85-'Tham số'!$B$3-N(G85)*'Tham số'!$B$4))</f>
        <v/>
      </c>
      <c r="N85" s="6">
        <f>IF(D85="","",ROUND(SUMPRODUCT(--(M85&gt;'Tham số'!$A$10:$A$16),M85-'Tham số'!$A$10:$A$16,'Tham số'!$C$10:$C$16),0))</f>
        <v/>
      </c>
      <c r="O85" s="6">
        <f>IF(D85="","",K85-L85-N85)</f>
        <v/>
      </c>
      <c r="P85">
        <f>IF(E85="","",IF(E85&gt;=IF(N($B$5)=0,26,$B$5),"Đủ công",IF(E85&gt;=IF(N($B$5)=0,26,$B$5)-3,"Thiếu ít","Thiếu nhiều")))</f>
        <v/>
      </c>
    </row>
    <row r="86" spans="1:16">
      <c r="A86" s="3"/>
      <c r="B86" s="3"/>
      <c r="C86" s="3"/>
      <c r="D86" s="4"/>
      <c r="E86" s="4"/>
      <c r="F86" s="4"/>
      <c r="G86" s="4"/>
      <c r="H86" s="6">
        <f>IF(C86="","",IFERROR(VLOOKUP(C86,'Tham số'!$A$20:$B$25,2,FALSE),0))</f>
        <v/>
      </c>
      <c r="I86" s="6">
        <f>IF(D86="","",ROUND(D86*E86/IF(N($B$5)=0,26,$B$5),0))</f>
        <v/>
      </c>
      <c r="J86" s="6">
        <f>IF(D86="","",ROUND(D86/IF(N($B$5)=0,26,$B$5)/8*1.5*N(F86),0))</f>
        <v/>
      </c>
      <c r="K86" s="6">
        <f>IF(D86="","",I86+J86+N(H86))</f>
        <v/>
      </c>
      <c r="L86" s="6">
        <f>IF(D86="","",ROUND(MIN(D86,'Tham số'!$B$6)*'Tham số'!$B$5,0))</f>
        <v/>
      </c>
      <c r="M86" s="6">
        <f>IF(D86="","",MAX(0,K86-L86-'Tham số'!$B$3-N(G86)*'Tham số'!$B$4))</f>
        <v/>
      </c>
      <c r="N86" s="6">
        <f>IF(D86="","",ROUND(SUMPRODUCT(--(M86&gt;'Tham số'!$A$10:$A$16),M86-'Tham số'!$A$10:$A$16,'Tham số'!$C$10:$C$16),0))</f>
        <v/>
      </c>
      <c r="O86" s="6">
        <f>IF(D86="","",K86-L86-N86)</f>
        <v/>
      </c>
      <c r="P86">
        <f>IF(E86="","",IF(E86&gt;=IF(N($B$5)=0,26,$B$5),"Đủ công",IF(E86&gt;=IF(N($B$5)=0,26,$B$5)-3,"Thiếu ít","Thiếu nhiều")))</f>
        <v/>
      </c>
    </row>
    <row r="87" spans="1:16">
      <c r="A87" s="3"/>
      <c r="B87" s="3"/>
      <c r="C87" s="3"/>
      <c r="D87" s="4"/>
      <c r="E87" s="4"/>
      <c r="F87" s="4"/>
      <c r="G87" s="4"/>
      <c r="H87" s="6">
        <f>IF(C87="","",IFERROR(VLOOKUP(C87,'Tham số'!$A$20:$B$25,2,FALSE),0))</f>
        <v/>
      </c>
      <c r="I87" s="6">
        <f>IF(D87="","",ROUND(D87*E87/IF(N($B$5)=0,26,$B$5),0))</f>
        <v/>
      </c>
      <c r="J87" s="6">
        <f>IF(D87="","",ROUND(D87/IF(N($B$5)=0,26,$B$5)/8*1.5*N(F87),0))</f>
        <v/>
      </c>
      <c r="K87" s="6">
        <f>IF(D87="","",I87+J87+N(H87))</f>
        <v/>
      </c>
      <c r="L87" s="6">
        <f>IF(D87="","",ROUND(MIN(D87,'Tham số'!$B$6)*'Tham số'!$B$5,0))</f>
        <v/>
      </c>
      <c r="M87" s="6">
        <f>IF(D87="","",MAX(0,K87-L87-'Tham số'!$B$3-N(G87)*'Tham số'!$B$4))</f>
        <v/>
      </c>
      <c r="N87" s="6">
        <f>IF(D87="","",ROUND(SUMPRODUCT(--(M87&gt;'Tham số'!$A$10:$A$16),M87-'Tham số'!$A$10:$A$16,'Tham số'!$C$10:$C$16),0))</f>
        <v/>
      </c>
      <c r="O87" s="6">
        <f>IF(D87="","",K87-L87-N87)</f>
        <v/>
      </c>
      <c r="P87">
        <f>IF(E87="","",IF(E87&gt;=IF(N($B$5)=0,26,$B$5),"Đủ công",IF(E87&gt;=IF(N($B$5)=0,26,$B$5)-3,"Thiếu ít","Thiếu nhiều")))</f>
        <v/>
      </c>
    </row>
    <row r="88" spans="1:16">
      <c r="A88" s="3"/>
      <c r="B88" s="3"/>
      <c r="C88" s="3"/>
      <c r="D88" s="4"/>
      <c r="E88" s="4"/>
      <c r="F88" s="4"/>
      <c r="G88" s="4"/>
      <c r="H88" s="6">
        <f>IF(C88="","",IFERROR(VLOOKUP(C88,'Tham số'!$A$20:$B$25,2,FALSE),0))</f>
        <v/>
      </c>
      <c r="I88" s="6">
        <f>IF(D88="","",ROUND(D88*E88/IF(N($B$5)=0,26,$B$5),0))</f>
        <v/>
      </c>
      <c r="J88" s="6">
        <f>IF(D88="","",ROUND(D88/IF(N($B$5)=0,26,$B$5)/8*1.5*N(F88),0))</f>
        <v/>
      </c>
      <c r="K88" s="6">
        <f>IF(D88="","",I88+J88+N(H88))</f>
        <v/>
      </c>
      <c r="L88" s="6">
        <f>IF(D88="","",ROUND(MIN(D88,'Tham số'!$B$6)*'Tham số'!$B$5,0))</f>
        <v/>
      </c>
      <c r="M88" s="6">
        <f>IF(D88="","",MAX(0,K88-L88-'Tham số'!$B$3-N(G88)*'Tham số'!$B$4))</f>
        <v/>
      </c>
      <c r="N88" s="6">
        <f>IF(D88="","",ROUND(SUMPRODUCT(--(M88&gt;'Tham số'!$A$10:$A$16),M88-'Tham số'!$A$10:$A$16,'Tham số'!$C$10:$C$16),0))</f>
        <v/>
      </c>
      <c r="O88" s="6">
        <f>IF(D88="","",K88-L88-N88)</f>
        <v/>
      </c>
      <c r="P88">
        <f>IF(E88="","",IF(E88&gt;=IF(N($B$5)=0,26,$B$5),"Đủ công",IF(E88&gt;=IF(N($B$5)=0,26,$B$5)-3,"Thiếu ít","Thiếu nhiều")))</f>
        <v/>
      </c>
    </row>
    <row r="89" spans="1:16">
      <c r="A89" s="3"/>
      <c r="B89" s="3"/>
      <c r="C89" s="3"/>
      <c r="D89" s="4"/>
      <c r="E89" s="4"/>
      <c r="F89" s="4"/>
      <c r="G89" s="4"/>
      <c r="H89" s="6">
        <f>IF(C89="","",IFERROR(VLOOKUP(C89,'Tham số'!$A$20:$B$25,2,FALSE),0))</f>
        <v/>
      </c>
      <c r="I89" s="6">
        <f>IF(D89="","",ROUND(D89*E89/IF(N($B$5)=0,26,$B$5),0))</f>
        <v/>
      </c>
      <c r="J89" s="6">
        <f>IF(D89="","",ROUND(D89/IF(N($B$5)=0,26,$B$5)/8*1.5*N(F89),0))</f>
        <v/>
      </c>
      <c r="K89" s="6">
        <f>IF(D89="","",I89+J89+N(H89))</f>
        <v/>
      </c>
      <c r="L89" s="6">
        <f>IF(D89="","",ROUND(MIN(D89,'Tham số'!$B$6)*'Tham số'!$B$5,0))</f>
        <v/>
      </c>
      <c r="M89" s="6">
        <f>IF(D89="","",MAX(0,K89-L89-'Tham số'!$B$3-N(G89)*'Tham số'!$B$4))</f>
        <v/>
      </c>
      <c r="N89" s="6">
        <f>IF(D89="","",ROUND(SUMPRODUCT(--(M89&gt;'Tham số'!$A$10:$A$16),M89-'Tham số'!$A$10:$A$16,'Tham số'!$C$10:$C$16),0))</f>
        <v/>
      </c>
      <c r="O89" s="6">
        <f>IF(D89="","",K89-L89-N89)</f>
        <v/>
      </c>
      <c r="P89">
        <f>IF(E89="","",IF(E89&gt;=IF(N($B$5)=0,26,$B$5),"Đủ công",IF(E89&gt;=IF(N($B$5)=0,26,$B$5)-3,"Thiếu ít","Thiếu nhiều")))</f>
        <v/>
      </c>
    </row>
    <row r="90" spans="1:16">
      <c r="A90" s="3"/>
      <c r="B90" s="3"/>
      <c r="C90" s="3"/>
      <c r="D90" s="4"/>
      <c r="E90" s="4"/>
      <c r="F90" s="4"/>
      <c r="G90" s="4"/>
      <c r="H90" s="6">
        <f>IF(C90="","",IFERROR(VLOOKUP(C90,'Tham số'!$A$20:$B$25,2,FALSE),0))</f>
        <v/>
      </c>
      <c r="I90" s="6">
        <f>IF(D90="","",ROUND(D90*E90/IF(N($B$5)=0,26,$B$5),0))</f>
        <v/>
      </c>
      <c r="J90" s="6">
        <f>IF(D90="","",ROUND(D90/IF(N($B$5)=0,26,$B$5)/8*1.5*N(F90),0))</f>
        <v/>
      </c>
      <c r="K90" s="6">
        <f>IF(D90="","",I90+J90+N(H90))</f>
        <v/>
      </c>
      <c r="L90" s="6">
        <f>IF(D90="","",ROUND(MIN(D90,'Tham số'!$B$6)*'Tham số'!$B$5,0))</f>
        <v/>
      </c>
      <c r="M90" s="6">
        <f>IF(D90="","",MAX(0,K90-L90-'Tham số'!$B$3-N(G90)*'Tham số'!$B$4))</f>
        <v/>
      </c>
      <c r="N90" s="6">
        <f>IF(D90="","",ROUND(SUMPRODUCT(--(M90&gt;'Tham số'!$A$10:$A$16),M90-'Tham số'!$A$10:$A$16,'Tham số'!$C$10:$C$16),0))</f>
        <v/>
      </c>
      <c r="O90" s="6">
        <f>IF(D90="","",K90-L90-N90)</f>
        <v/>
      </c>
      <c r="P90">
        <f>IF(E90="","",IF(E90&gt;=IF(N($B$5)=0,26,$B$5),"Đủ công",IF(E90&gt;=IF(N($B$5)=0,26,$B$5)-3,"Thiếu ít","Thiếu nhiều")))</f>
        <v/>
      </c>
    </row>
    <row r="91" spans="1:16">
      <c r="A91" s="3"/>
      <c r="B91" s="3"/>
      <c r="C91" s="3"/>
      <c r="D91" s="4"/>
      <c r="E91" s="4"/>
      <c r="F91" s="4"/>
      <c r="G91" s="4"/>
      <c r="H91" s="6">
        <f>IF(C91="","",IFERROR(VLOOKUP(C91,'Tham số'!$A$20:$B$25,2,FALSE),0))</f>
        <v/>
      </c>
      <c r="I91" s="6">
        <f>IF(D91="","",ROUND(D91*E91/IF(N($B$5)=0,26,$B$5),0))</f>
        <v/>
      </c>
      <c r="J91" s="6">
        <f>IF(D91="","",ROUND(D91/IF(N($B$5)=0,26,$B$5)/8*1.5*N(F91),0))</f>
        <v/>
      </c>
      <c r="K91" s="6">
        <f>IF(D91="","",I91+J91+N(H91))</f>
        <v/>
      </c>
      <c r="L91" s="6">
        <f>IF(D91="","",ROUND(MIN(D91,'Tham số'!$B$6)*'Tham số'!$B$5,0))</f>
        <v/>
      </c>
      <c r="M91" s="6">
        <f>IF(D91="","",MAX(0,K91-L91-'Tham số'!$B$3-N(G91)*'Tham số'!$B$4))</f>
        <v/>
      </c>
      <c r="N91" s="6">
        <f>IF(D91="","",ROUND(SUMPRODUCT(--(M91&gt;'Tham số'!$A$10:$A$16),M91-'Tham số'!$A$10:$A$16,'Tham số'!$C$10:$C$16),0))</f>
        <v/>
      </c>
      <c r="O91" s="6">
        <f>IF(D91="","",K91-L91-N91)</f>
        <v/>
      </c>
      <c r="P91">
        <f>IF(E91="","",IF(E91&gt;=IF(N($B$5)=0,26,$B$5),"Đủ công",IF(E91&gt;=IF(N($B$5)=0,26,$B$5)-3,"Thiếu ít","Thiếu nhiều")))</f>
        <v/>
      </c>
    </row>
    <row r="92" spans="1:16">
      <c r="A92" s="3"/>
      <c r="B92" s="3"/>
      <c r="C92" s="3"/>
      <c r="D92" s="4"/>
      <c r="E92" s="4"/>
      <c r="F92" s="4"/>
      <c r="G92" s="4"/>
      <c r="H92" s="6">
        <f>IF(C92="","",IFERROR(VLOOKUP(C92,'Tham số'!$A$20:$B$25,2,FALSE),0))</f>
        <v/>
      </c>
      <c r="I92" s="6">
        <f>IF(D92="","",ROUND(D92*E92/IF(N($B$5)=0,26,$B$5),0))</f>
        <v/>
      </c>
      <c r="J92" s="6">
        <f>IF(D92="","",ROUND(D92/IF(N($B$5)=0,26,$B$5)/8*1.5*N(F92),0))</f>
        <v/>
      </c>
      <c r="K92" s="6">
        <f>IF(D92="","",I92+J92+N(H92))</f>
        <v/>
      </c>
      <c r="L92" s="6">
        <f>IF(D92="","",ROUND(MIN(D92,'Tham số'!$B$6)*'Tham số'!$B$5,0))</f>
        <v/>
      </c>
      <c r="M92" s="6">
        <f>IF(D92="","",MAX(0,K92-L92-'Tham số'!$B$3-N(G92)*'Tham số'!$B$4))</f>
        <v/>
      </c>
      <c r="N92" s="6">
        <f>IF(D92="","",ROUND(SUMPRODUCT(--(M92&gt;'Tham số'!$A$10:$A$16),M92-'Tham số'!$A$10:$A$16,'Tham số'!$C$10:$C$16),0))</f>
        <v/>
      </c>
      <c r="O92" s="6">
        <f>IF(D92="","",K92-L92-N92)</f>
        <v/>
      </c>
      <c r="P92">
        <f>IF(E92="","",IF(E92&gt;=IF(N($B$5)=0,26,$B$5),"Đủ công",IF(E92&gt;=IF(N($B$5)=0,26,$B$5)-3,"Thiếu ít","Thiếu nhiều")))</f>
        <v/>
      </c>
    </row>
    <row r="93" spans="1:16">
      <c r="A93" s="3"/>
      <c r="B93" s="3"/>
      <c r="C93" s="3"/>
      <c r="D93" s="4"/>
      <c r="E93" s="4"/>
      <c r="F93" s="4"/>
      <c r="G93" s="4"/>
      <c r="H93" s="6">
        <f>IF(C93="","",IFERROR(VLOOKUP(C93,'Tham số'!$A$20:$B$25,2,FALSE),0))</f>
        <v/>
      </c>
      <c r="I93" s="6">
        <f>IF(D93="","",ROUND(D93*E93/IF(N($B$5)=0,26,$B$5),0))</f>
        <v/>
      </c>
      <c r="J93" s="6">
        <f>IF(D93="","",ROUND(D93/IF(N($B$5)=0,26,$B$5)/8*1.5*N(F93),0))</f>
        <v/>
      </c>
      <c r="K93" s="6">
        <f>IF(D93="","",I93+J93+N(H93))</f>
        <v/>
      </c>
      <c r="L93" s="6">
        <f>IF(D93="","",ROUND(MIN(D93,'Tham số'!$B$6)*'Tham số'!$B$5,0))</f>
        <v/>
      </c>
      <c r="M93" s="6">
        <f>IF(D93="","",MAX(0,K93-L93-'Tham số'!$B$3-N(G93)*'Tham số'!$B$4))</f>
        <v/>
      </c>
      <c r="N93" s="6">
        <f>IF(D93="","",ROUND(SUMPRODUCT(--(M93&gt;'Tham số'!$A$10:$A$16),M93-'Tham số'!$A$10:$A$16,'Tham số'!$C$10:$C$16),0))</f>
        <v/>
      </c>
      <c r="O93" s="6">
        <f>IF(D93="","",K93-L93-N93)</f>
        <v/>
      </c>
      <c r="P93">
        <f>IF(E93="","",IF(E93&gt;=IF(N($B$5)=0,26,$B$5),"Đủ công",IF(E93&gt;=IF(N($B$5)=0,26,$B$5)-3,"Thiếu ít","Thiếu nhiều")))</f>
        <v/>
      </c>
    </row>
    <row r="94" spans="1:16">
      <c r="A94" s="3"/>
      <c r="B94" s="3"/>
      <c r="C94" s="3"/>
      <c r="D94" s="4"/>
      <c r="E94" s="4"/>
      <c r="F94" s="4"/>
      <c r="G94" s="4"/>
      <c r="H94" s="6">
        <f>IF(C94="","",IFERROR(VLOOKUP(C94,'Tham số'!$A$20:$B$25,2,FALSE),0))</f>
        <v/>
      </c>
      <c r="I94" s="6">
        <f>IF(D94="","",ROUND(D94*E94/IF(N($B$5)=0,26,$B$5),0))</f>
        <v/>
      </c>
      <c r="J94" s="6">
        <f>IF(D94="","",ROUND(D94/IF(N($B$5)=0,26,$B$5)/8*1.5*N(F94),0))</f>
        <v/>
      </c>
      <c r="K94" s="6">
        <f>IF(D94="","",I94+J94+N(H94))</f>
        <v/>
      </c>
      <c r="L94" s="6">
        <f>IF(D94="","",ROUND(MIN(D94,'Tham số'!$B$6)*'Tham số'!$B$5,0))</f>
        <v/>
      </c>
      <c r="M94" s="6">
        <f>IF(D94="","",MAX(0,K94-L94-'Tham số'!$B$3-N(G94)*'Tham số'!$B$4))</f>
        <v/>
      </c>
      <c r="N94" s="6">
        <f>IF(D94="","",ROUND(SUMPRODUCT(--(M94&gt;'Tham số'!$A$10:$A$16),M94-'Tham số'!$A$10:$A$16,'Tham số'!$C$10:$C$16),0))</f>
        <v/>
      </c>
      <c r="O94" s="6">
        <f>IF(D94="","",K94-L94-N94)</f>
        <v/>
      </c>
      <c r="P94">
        <f>IF(E94="","",IF(E94&gt;=IF(N($B$5)=0,26,$B$5),"Đủ công",IF(E94&gt;=IF(N($B$5)=0,26,$B$5)-3,"Thiếu ít","Thiếu nhiều")))</f>
        <v/>
      </c>
    </row>
    <row r="95" spans="1:16">
      <c r="A95" s="3"/>
      <c r="B95" s="3"/>
      <c r="C95" s="3"/>
      <c r="D95" s="4"/>
      <c r="E95" s="4"/>
      <c r="F95" s="4"/>
      <c r="G95" s="4"/>
      <c r="H95" s="6">
        <f>IF(C95="","",IFERROR(VLOOKUP(C95,'Tham số'!$A$20:$B$25,2,FALSE),0))</f>
        <v/>
      </c>
      <c r="I95" s="6">
        <f>IF(D95="","",ROUND(D95*E95/IF(N($B$5)=0,26,$B$5),0))</f>
        <v/>
      </c>
      <c r="J95" s="6">
        <f>IF(D95="","",ROUND(D95/IF(N($B$5)=0,26,$B$5)/8*1.5*N(F95),0))</f>
        <v/>
      </c>
      <c r="K95" s="6">
        <f>IF(D95="","",I95+J95+N(H95))</f>
        <v/>
      </c>
      <c r="L95" s="6">
        <f>IF(D95="","",ROUND(MIN(D95,'Tham số'!$B$6)*'Tham số'!$B$5,0))</f>
        <v/>
      </c>
      <c r="M95" s="6">
        <f>IF(D95="","",MAX(0,K95-L95-'Tham số'!$B$3-N(G95)*'Tham số'!$B$4))</f>
        <v/>
      </c>
      <c r="N95" s="6">
        <f>IF(D95="","",ROUND(SUMPRODUCT(--(M95&gt;'Tham số'!$A$10:$A$16),M95-'Tham số'!$A$10:$A$16,'Tham số'!$C$10:$C$16),0))</f>
        <v/>
      </c>
      <c r="O95" s="6">
        <f>IF(D95="","",K95-L95-N95)</f>
        <v/>
      </c>
      <c r="P95">
        <f>IF(E95="","",IF(E95&gt;=IF(N($B$5)=0,26,$B$5),"Đủ công",IF(E95&gt;=IF(N($B$5)=0,26,$B$5)-3,"Thiếu ít","Thiếu nhiều")))</f>
        <v/>
      </c>
    </row>
    <row r="96" spans="1:16">
      <c r="A96" s="3"/>
      <c r="B96" s="3"/>
      <c r="C96" s="3"/>
      <c r="D96" s="4"/>
      <c r="E96" s="4"/>
      <c r="F96" s="4"/>
      <c r="G96" s="4"/>
      <c r="H96" s="6">
        <f>IF(C96="","",IFERROR(VLOOKUP(C96,'Tham số'!$A$20:$B$25,2,FALSE),0))</f>
        <v/>
      </c>
      <c r="I96" s="6">
        <f>IF(D96="","",ROUND(D96*E96/IF(N($B$5)=0,26,$B$5),0))</f>
        <v/>
      </c>
      <c r="J96" s="6">
        <f>IF(D96="","",ROUND(D96/IF(N($B$5)=0,26,$B$5)/8*1.5*N(F96),0))</f>
        <v/>
      </c>
      <c r="K96" s="6">
        <f>IF(D96="","",I96+J96+N(H96))</f>
        <v/>
      </c>
      <c r="L96" s="6">
        <f>IF(D96="","",ROUND(MIN(D96,'Tham số'!$B$6)*'Tham số'!$B$5,0))</f>
        <v/>
      </c>
      <c r="M96" s="6">
        <f>IF(D96="","",MAX(0,K96-L96-'Tham số'!$B$3-N(G96)*'Tham số'!$B$4))</f>
        <v/>
      </c>
      <c r="N96" s="6">
        <f>IF(D96="","",ROUND(SUMPRODUCT(--(M96&gt;'Tham số'!$A$10:$A$16),M96-'Tham số'!$A$10:$A$16,'Tham số'!$C$10:$C$16),0))</f>
        <v/>
      </c>
      <c r="O96" s="6">
        <f>IF(D96="","",K96-L96-N96)</f>
        <v/>
      </c>
      <c r="P96">
        <f>IF(E96="","",IF(E96&gt;=IF(N($B$5)=0,26,$B$5),"Đủ công",IF(E96&gt;=IF(N($B$5)=0,26,$B$5)-3,"Thiếu ít","Thiếu nhiều")))</f>
        <v/>
      </c>
    </row>
    <row r="97" spans="1:16">
      <c r="A97" s="3"/>
      <c r="B97" s="3"/>
      <c r="C97" s="3"/>
      <c r="D97" s="4"/>
      <c r="E97" s="4"/>
      <c r="F97" s="4"/>
      <c r="G97" s="4"/>
      <c r="H97" s="6">
        <f>IF(C97="","",IFERROR(VLOOKUP(C97,'Tham số'!$A$20:$B$25,2,FALSE),0))</f>
        <v/>
      </c>
      <c r="I97" s="6">
        <f>IF(D97="","",ROUND(D97*E97/IF(N($B$5)=0,26,$B$5),0))</f>
        <v/>
      </c>
      <c r="J97" s="6">
        <f>IF(D97="","",ROUND(D97/IF(N($B$5)=0,26,$B$5)/8*1.5*N(F97),0))</f>
        <v/>
      </c>
      <c r="K97" s="6">
        <f>IF(D97="","",I97+J97+N(H97))</f>
        <v/>
      </c>
      <c r="L97" s="6">
        <f>IF(D97="","",ROUND(MIN(D97,'Tham số'!$B$6)*'Tham số'!$B$5,0))</f>
        <v/>
      </c>
      <c r="M97" s="6">
        <f>IF(D97="","",MAX(0,K97-L97-'Tham số'!$B$3-N(G97)*'Tham số'!$B$4))</f>
        <v/>
      </c>
      <c r="N97" s="6">
        <f>IF(D97="","",ROUND(SUMPRODUCT(--(M97&gt;'Tham số'!$A$10:$A$16),M97-'Tham số'!$A$10:$A$16,'Tham số'!$C$10:$C$16),0))</f>
        <v/>
      </c>
      <c r="O97" s="6">
        <f>IF(D97="","",K97-L97-N97)</f>
        <v/>
      </c>
      <c r="P97">
        <f>IF(E97="","",IF(E97&gt;=IF(N($B$5)=0,26,$B$5),"Đủ công",IF(E97&gt;=IF(N($B$5)=0,26,$B$5)-3,"Thiếu ít","Thiếu nhiều")))</f>
        <v/>
      </c>
    </row>
    <row r="98" spans="1:16">
      <c r="A98" s="3"/>
      <c r="B98" s="3"/>
      <c r="C98" s="3"/>
      <c r="D98" s="4"/>
      <c r="E98" s="4"/>
      <c r="F98" s="4"/>
      <c r="G98" s="4"/>
      <c r="H98" s="6">
        <f>IF(C98="","",IFERROR(VLOOKUP(C98,'Tham số'!$A$20:$B$25,2,FALSE),0))</f>
        <v/>
      </c>
      <c r="I98" s="6">
        <f>IF(D98="","",ROUND(D98*E98/IF(N($B$5)=0,26,$B$5),0))</f>
        <v/>
      </c>
      <c r="J98" s="6">
        <f>IF(D98="","",ROUND(D98/IF(N($B$5)=0,26,$B$5)/8*1.5*N(F98),0))</f>
        <v/>
      </c>
      <c r="K98" s="6">
        <f>IF(D98="","",I98+J98+N(H98))</f>
        <v/>
      </c>
      <c r="L98" s="6">
        <f>IF(D98="","",ROUND(MIN(D98,'Tham số'!$B$6)*'Tham số'!$B$5,0))</f>
        <v/>
      </c>
      <c r="M98" s="6">
        <f>IF(D98="","",MAX(0,K98-L98-'Tham số'!$B$3-N(G98)*'Tham số'!$B$4))</f>
        <v/>
      </c>
      <c r="N98" s="6">
        <f>IF(D98="","",ROUND(SUMPRODUCT(--(M98&gt;'Tham số'!$A$10:$A$16),M98-'Tham số'!$A$10:$A$16,'Tham số'!$C$10:$C$16),0))</f>
        <v/>
      </c>
      <c r="O98" s="6">
        <f>IF(D98="","",K98-L98-N98)</f>
        <v/>
      </c>
      <c r="P98">
        <f>IF(E98="","",IF(E98&gt;=IF(N($B$5)=0,26,$B$5),"Đủ công",IF(E98&gt;=IF(N($B$5)=0,26,$B$5)-3,"Thiếu ít","Thiếu nhiều")))</f>
        <v/>
      </c>
    </row>
    <row r="99" spans="1:16">
      <c r="A99" s="3"/>
      <c r="B99" s="3"/>
      <c r="C99" s="3"/>
      <c r="D99" s="4"/>
      <c r="E99" s="4"/>
      <c r="F99" s="4"/>
      <c r="G99" s="4"/>
      <c r="H99" s="6">
        <f>IF(C99="","",IFERROR(VLOOKUP(C99,'Tham số'!$A$20:$B$25,2,FALSE),0))</f>
        <v/>
      </c>
      <c r="I99" s="6">
        <f>IF(D99="","",ROUND(D99*E99/IF(N($B$5)=0,26,$B$5),0))</f>
        <v/>
      </c>
      <c r="J99" s="6">
        <f>IF(D99="","",ROUND(D99/IF(N($B$5)=0,26,$B$5)/8*1.5*N(F99),0))</f>
        <v/>
      </c>
      <c r="K99" s="6">
        <f>IF(D99="","",I99+J99+N(H99))</f>
        <v/>
      </c>
      <c r="L99" s="6">
        <f>IF(D99="","",ROUND(MIN(D99,'Tham số'!$B$6)*'Tham số'!$B$5,0))</f>
        <v/>
      </c>
      <c r="M99" s="6">
        <f>IF(D99="","",MAX(0,K99-L99-'Tham số'!$B$3-N(G99)*'Tham số'!$B$4))</f>
        <v/>
      </c>
      <c r="N99" s="6">
        <f>IF(D99="","",ROUND(SUMPRODUCT(--(M99&gt;'Tham số'!$A$10:$A$16),M99-'Tham số'!$A$10:$A$16,'Tham số'!$C$10:$C$16),0))</f>
        <v/>
      </c>
      <c r="O99" s="6">
        <f>IF(D99="","",K99-L99-N99)</f>
        <v/>
      </c>
      <c r="P99">
        <f>IF(E99="","",IF(E99&gt;=IF(N($B$5)=0,26,$B$5),"Đủ công",IF(E99&gt;=IF(N($B$5)=0,26,$B$5)-3,"Thiếu ít","Thiếu nhiều")))</f>
        <v/>
      </c>
    </row>
    <row r="100" spans="1:16">
      <c r="A100" s="3"/>
      <c r="B100" s="3"/>
      <c r="C100" s="3"/>
      <c r="D100" s="4"/>
      <c r="E100" s="4"/>
      <c r="F100" s="4"/>
      <c r="G100" s="4"/>
      <c r="H100" s="6">
        <f>IF(C100="","",IFERROR(VLOOKUP(C100,'Tham số'!$A$20:$B$25,2,FALSE),0))</f>
        <v/>
      </c>
      <c r="I100" s="6">
        <f>IF(D100="","",ROUND(D100*E100/IF(N($B$5)=0,26,$B$5),0))</f>
        <v/>
      </c>
      <c r="J100" s="6">
        <f>IF(D100="","",ROUND(D100/IF(N($B$5)=0,26,$B$5)/8*1.5*N(F100),0))</f>
        <v/>
      </c>
      <c r="K100" s="6">
        <f>IF(D100="","",I100+J100+N(H100))</f>
        <v/>
      </c>
      <c r="L100" s="6">
        <f>IF(D100="","",ROUND(MIN(D100,'Tham số'!$B$6)*'Tham số'!$B$5,0))</f>
        <v/>
      </c>
      <c r="M100" s="6">
        <f>IF(D100="","",MAX(0,K100-L100-'Tham số'!$B$3-N(G100)*'Tham số'!$B$4))</f>
        <v/>
      </c>
      <c r="N100" s="6">
        <f>IF(D100="","",ROUND(SUMPRODUCT(--(M100&gt;'Tham số'!$A$10:$A$16),M100-'Tham số'!$A$10:$A$16,'Tham số'!$C$10:$C$16),0))</f>
        <v/>
      </c>
      <c r="O100" s="6">
        <f>IF(D100="","",K100-L100-N100)</f>
        <v/>
      </c>
      <c r="P100">
        <f>IF(E100="","",IF(E100&gt;=IF(N($B$5)=0,26,$B$5),"Đủ công",IF(E100&gt;=IF(N($B$5)=0,26,$B$5)-3,"Thiếu ít","Thiếu nhiều")))</f>
        <v/>
      </c>
    </row>
    <row r="101" spans="1:16">
      <c r="A101" s="3"/>
      <c r="B101" s="3"/>
      <c r="C101" s="3"/>
      <c r="D101" s="4"/>
      <c r="E101" s="4"/>
      <c r="F101" s="4"/>
      <c r="G101" s="4"/>
      <c r="H101" s="6">
        <f>IF(C101="","",IFERROR(VLOOKUP(C101,'Tham số'!$A$20:$B$25,2,FALSE),0))</f>
        <v/>
      </c>
      <c r="I101" s="6">
        <f>IF(D101="","",ROUND(D101*E101/IF(N($B$5)=0,26,$B$5),0))</f>
        <v/>
      </c>
      <c r="J101" s="6">
        <f>IF(D101="","",ROUND(D101/IF(N($B$5)=0,26,$B$5)/8*1.5*N(F101),0))</f>
        <v/>
      </c>
      <c r="K101" s="6">
        <f>IF(D101="","",I101+J101+N(H101))</f>
        <v/>
      </c>
      <c r="L101" s="6">
        <f>IF(D101="","",ROUND(MIN(D101,'Tham số'!$B$6)*'Tham số'!$B$5,0))</f>
        <v/>
      </c>
      <c r="M101" s="6">
        <f>IF(D101="","",MAX(0,K101-L101-'Tham số'!$B$3-N(G101)*'Tham số'!$B$4))</f>
        <v/>
      </c>
      <c r="N101" s="6">
        <f>IF(D101="","",ROUND(SUMPRODUCT(--(M101&gt;'Tham số'!$A$10:$A$16),M101-'Tham số'!$A$10:$A$16,'Tham số'!$C$10:$C$16),0))</f>
        <v/>
      </c>
      <c r="O101" s="6">
        <f>IF(D101="","",K101-L101-N101)</f>
        <v/>
      </c>
      <c r="P101">
        <f>IF(E101="","",IF(E101&gt;=IF(N($B$5)=0,26,$B$5),"Đủ công",IF(E101&gt;=IF(N($B$5)=0,26,$B$5)-3,"Thiếu ít","Thiếu nhiều")))</f>
        <v/>
      </c>
    </row>
    <row r="102" spans="1:16">
      <c r="A102" s="3"/>
      <c r="B102" s="3"/>
      <c r="C102" s="3"/>
      <c r="D102" s="4"/>
      <c r="E102" s="4"/>
      <c r="F102" s="4"/>
      <c r="G102" s="4"/>
      <c r="H102" s="6">
        <f>IF(C102="","",IFERROR(VLOOKUP(C102,'Tham số'!$A$20:$B$25,2,FALSE),0))</f>
        <v/>
      </c>
      <c r="I102" s="6">
        <f>IF(D102="","",ROUND(D102*E102/IF(N($B$5)=0,26,$B$5),0))</f>
        <v/>
      </c>
      <c r="J102" s="6">
        <f>IF(D102="","",ROUND(D102/IF(N($B$5)=0,26,$B$5)/8*1.5*N(F102),0))</f>
        <v/>
      </c>
      <c r="K102" s="6">
        <f>IF(D102="","",I102+J102+N(H102))</f>
        <v/>
      </c>
      <c r="L102" s="6">
        <f>IF(D102="","",ROUND(MIN(D102,'Tham số'!$B$6)*'Tham số'!$B$5,0))</f>
        <v/>
      </c>
      <c r="M102" s="6">
        <f>IF(D102="","",MAX(0,K102-L102-'Tham số'!$B$3-N(G102)*'Tham số'!$B$4))</f>
        <v/>
      </c>
      <c r="N102" s="6">
        <f>IF(D102="","",ROUND(SUMPRODUCT(--(M102&gt;'Tham số'!$A$10:$A$16),M102-'Tham số'!$A$10:$A$16,'Tham số'!$C$10:$C$16),0))</f>
        <v/>
      </c>
      <c r="O102" s="6">
        <f>IF(D102="","",K102-L102-N102)</f>
        <v/>
      </c>
      <c r="P102">
        <f>IF(E102="","",IF(E102&gt;=IF(N($B$5)=0,26,$B$5),"Đủ công",IF(E102&gt;=IF(N($B$5)=0,26,$B$5)-3,"Thiếu ít","Thiếu nhiều")))</f>
        <v/>
      </c>
    </row>
    <row r="103" spans="1:16">
      <c r="A103" s="3"/>
      <c r="B103" s="3"/>
      <c r="C103" s="3"/>
      <c r="D103" s="4"/>
      <c r="E103" s="4"/>
      <c r="F103" s="4"/>
      <c r="G103" s="4"/>
      <c r="H103" s="6">
        <f>IF(C103="","",IFERROR(VLOOKUP(C103,'Tham số'!$A$20:$B$25,2,FALSE),0))</f>
        <v/>
      </c>
      <c r="I103" s="6">
        <f>IF(D103="","",ROUND(D103*E103/IF(N($B$5)=0,26,$B$5),0))</f>
        <v/>
      </c>
      <c r="J103" s="6">
        <f>IF(D103="","",ROUND(D103/IF(N($B$5)=0,26,$B$5)/8*1.5*N(F103),0))</f>
        <v/>
      </c>
      <c r="K103" s="6">
        <f>IF(D103="","",I103+J103+N(H103))</f>
        <v/>
      </c>
      <c r="L103" s="6">
        <f>IF(D103="","",ROUND(MIN(D103,'Tham số'!$B$6)*'Tham số'!$B$5,0))</f>
        <v/>
      </c>
      <c r="M103" s="6">
        <f>IF(D103="","",MAX(0,K103-L103-'Tham số'!$B$3-N(G103)*'Tham số'!$B$4))</f>
        <v/>
      </c>
      <c r="N103" s="6">
        <f>IF(D103="","",ROUND(SUMPRODUCT(--(M103&gt;'Tham số'!$A$10:$A$16),M103-'Tham số'!$A$10:$A$16,'Tham số'!$C$10:$C$16),0))</f>
        <v/>
      </c>
      <c r="O103" s="6">
        <f>IF(D103="","",K103-L103-N103)</f>
        <v/>
      </c>
      <c r="P103">
        <f>IF(E103="","",IF(E103&gt;=IF(N($B$5)=0,26,$B$5),"Đủ công",IF(E103&gt;=IF(N($B$5)=0,26,$B$5)-3,"Thiếu ít","Thiếu nhiều")))</f>
        <v/>
      </c>
    </row>
    <row r="104" spans="1:16">
      <c r="A104" s="3"/>
      <c r="B104" s="3"/>
      <c r="C104" s="3"/>
      <c r="D104" s="4"/>
      <c r="E104" s="4"/>
      <c r="F104" s="4"/>
      <c r="G104" s="4"/>
      <c r="H104" s="6">
        <f>IF(C104="","",IFERROR(VLOOKUP(C104,'Tham số'!$A$20:$B$25,2,FALSE),0))</f>
        <v/>
      </c>
      <c r="I104" s="6">
        <f>IF(D104="","",ROUND(D104*E104/IF(N($B$5)=0,26,$B$5),0))</f>
        <v/>
      </c>
      <c r="J104" s="6">
        <f>IF(D104="","",ROUND(D104/IF(N($B$5)=0,26,$B$5)/8*1.5*N(F104),0))</f>
        <v/>
      </c>
      <c r="K104" s="6">
        <f>IF(D104="","",I104+J104+N(H104))</f>
        <v/>
      </c>
      <c r="L104" s="6">
        <f>IF(D104="","",ROUND(MIN(D104,'Tham số'!$B$6)*'Tham số'!$B$5,0))</f>
        <v/>
      </c>
      <c r="M104" s="6">
        <f>IF(D104="","",MAX(0,K104-L104-'Tham số'!$B$3-N(G104)*'Tham số'!$B$4))</f>
        <v/>
      </c>
      <c r="N104" s="6">
        <f>IF(D104="","",ROUND(SUMPRODUCT(--(M104&gt;'Tham số'!$A$10:$A$16),M104-'Tham số'!$A$10:$A$16,'Tham số'!$C$10:$C$16),0))</f>
        <v/>
      </c>
      <c r="O104" s="6">
        <f>IF(D104="","",K104-L104-N104)</f>
        <v/>
      </c>
      <c r="P104">
        <f>IF(E104="","",IF(E104&gt;=IF(N($B$5)=0,26,$B$5),"Đủ công",IF(E104&gt;=IF(N($B$5)=0,26,$B$5)-3,"Thiếu ít","Thiếu nhiều")))</f>
        <v/>
      </c>
    </row>
    <row r="105" spans="1:16">
      <c r="A105" s="3"/>
      <c r="B105" s="3"/>
      <c r="C105" s="3"/>
      <c r="D105" s="4"/>
      <c r="E105" s="4"/>
      <c r="F105" s="4"/>
      <c r="G105" s="4"/>
      <c r="H105" s="6">
        <f>IF(C105="","",IFERROR(VLOOKUP(C105,'Tham số'!$A$20:$B$25,2,FALSE),0))</f>
        <v/>
      </c>
      <c r="I105" s="6">
        <f>IF(D105="","",ROUND(D105*E105/IF(N($B$5)=0,26,$B$5),0))</f>
        <v/>
      </c>
      <c r="J105" s="6">
        <f>IF(D105="","",ROUND(D105/IF(N($B$5)=0,26,$B$5)/8*1.5*N(F105),0))</f>
        <v/>
      </c>
      <c r="K105" s="6">
        <f>IF(D105="","",I105+J105+N(H105))</f>
        <v/>
      </c>
      <c r="L105" s="6">
        <f>IF(D105="","",ROUND(MIN(D105,'Tham số'!$B$6)*'Tham số'!$B$5,0))</f>
        <v/>
      </c>
      <c r="M105" s="6">
        <f>IF(D105="","",MAX(0,K105-L105-'Tham số'!$B$3-N(G105)*'Tham số'!$B$4))</f>
        <v/>
      </c>
      <c r="N105" s="6">
        <f>IF(D105="","",ROUND(SUMPRODUCT(--(M105&gt;'Tham số'!$A$10:$A$16),M105-'Tham số'!$A$10:$A$16,'Tham số'!$C$10:$C$16),0))</f>
        <v/>
      </c>
      <c r="O105" s="6">
        <f>IF(D105="","",K105-L105-N105)</f>
        <v/>
      </c>
      <c r="P105">
        <f>IF(E105="","",IF(E105&gt;=IF(N($B$5)=0,26,$B$5),"Đủ công",IF(E105&gt;=IF(N($B$5)=0,26,$B$5)-3,"Thiếu ít","Thiếu nhiều")))</f>
        <v/>
      </c>
    </row>
    <row r="106" spans="1:16">
      <c r="A106" s="3"/>
      <c r="B106" s="3"/>
      <c r="C106" s="3"/>
      <c r="D106" s="4"/>
      <c r="E106" s="4"/>
      <c r="F106" s="4"/>
      <c r="G106" s="4"/>
      <c r="H106" s="6">
        <f>IF(C106="","",IFERROR(VLOOKUP(C106,'Tham số'!$A$20:$B$25,2,FALSE),0))</f>
        <v/>
      </c>
      <c r="I106" s="6">
        <f>IF(D106="","",ROUND(D106*E106/IF(N($B$5)=0,26,$B$5),0))</f>
        <v/>
      </c>
      <c r="J106" s="6">
        <f>IF(D106="","",ROUND(D106/IF(N($B$5)=0,26,$B$5)/8*1.5*N(F106),0))</f>
        <v/>
      </c>
      <c r="K106" s="6">
        <f>IF(D106="","",I106+J106+N(H106))</f>
        <v/>
      </c>
      <c r="L106" s="6">
        <f>IF(D106="","",ROUND(MIN(D106,'Tham số'!$B$6)*'Tham số'!$B$5,0))</f>
        <v/>
      </c>
      <c r="M106" s="6">
        <f>IF(D106="","",MAX(0,K106-L106-'Tham số'!$B$3-N(G106)*'Tham số'!$B$4))</f>
        <v/>
      </c>
      <c r="N106" s="6">
        <f>IF(D106="","",ROUND(SUMPRODUCT(--(M106&gt;'Tham số'!$A$10:$A$16),M106-'Tham số'!$A$10:$A$16,'Tham số'!$C$10:$C$16),0))</f>
        <v/>
      </c>
      <c r="O106" s="6">
        <f>IF(D106="","",K106-L106-N106)</f>
        <v/>
      </c>
      <c r="P106">
        <f>IF(E106="","",IF(E106&gt;=IF(N($B$5)=0,26,$B$5),"Đủ công",IF(E106&gt;=IF(N($B$5)=0,26,$B$5)-3,"Thiếu ít","Thiếu nhiều")))</f>
        <v/>
      </c>
    </row>
    <row r="107" spans="1:16">
      <c r="A107" s="3"/>
      <c r="B107" s="3"/>
      <c r="C107" s="3"/>
      <c r="D107" s="4"/>
      <c r="E107" s="4"/>
      <c r="F107" s="4"/>
      <c r="G107" s="4"/>
      <c r="H107" s="6">
        <f>IF(C107="","",IFERROR(VLOOKUP(C107,'Tham số'!$A$20:$B$25,2,FALSE),0))</f>
        <v/>
      </c>
      <c r="I107" s="6">
        <f>IF(D107="","",ROUND(D107*E107/IF(N($B$5)=0,26,$B$5),0))</f>
        <v/>
      </c>
      <c r="J107" s="6">
        <f>IF(D107="","",ROUND(D107/IF(N($B$5)=0,26,$B$5)/8*1.5*N(F107),0))</f>
        <v/>
      </c>
      <c r="K107" s="6">
        <f>IF(D107="","",I107+J107+N(H107))</f>
        <v/>
      </c>
      <c r="L107" s="6">
        <f>IF(D107="","",ROUND(MIN(D107,'Tham số'!$B$6)*'Tham số'!$B$5,0))</f>
        <v/>
      </c>
      <c r="M107" s="6">
        <f>IF(D107="","",MAX(0,K107-L107-'Tham số'!$B$3-N(G107)*'Tham số'!$B$4))</f>
        <v/>
      </c>
      <c r="N107" s="6">
        <f>IF(D107="","",ROUND(SUMPRODUCT(--(M107&gt;'Tham số'!$A$10:$A$16),M107-'Tham số'!$A$10:$A$16,'Tham số'!$C$10:$C$16),0))</f>
        <v/>
      </c>
      <c r="O107" s="6">
        <f>IF(D107="","",K107-L107-N107)</f>
        <v/>
      </c>
      <c r="P107">
        <f>IF(E107="","",IF(E107&gt;=IF(N($B$5)=0,26,$B$5),"Đủ công",IF(E107&gt;=IF(N($B$5)=0,26,$B$5)-3,"Thiếu ít","Thiếu nhiều")))</f>
        <v/>
      </c>
    </row>
    <row r="108" spans="1:16">
      <c r="A108" s="3"/>
      <c r="B108" s="3"/>
      <c r="C108" s="3"/>
      <c r="D108" s="4"/>
      <c r="E108" s="4"/>
      <c r="F108" s="4"/>
      <c r="G108" s="4"/>
      <c r="H108" s="6">
        <f>IF(C108="","",IFERROR(VLOOKUP(C108,'Tham số'!$A$20:$B$25,2,FALSE),0))</f>
        <v/>
      </c>
      <c r="I108" s="6">
        <f>IF(D108="","",ROUND(D108*E108/IF(N($B$5)=0,26,$B$5),0))</f>
        <v/>
      </c>
      <c r="J108" s="6">
        <f>IF(D108="","",ROUND(D108/IF(N($B$5)=0,26,$B$5)/8*1.5*N(F108),0))</f>
        <v/>
      </c>
      <c r="K108" s="6">
        <f>IF(D108="","",I108+J108+N(H108))</f>
        <v/>
      </c>
      <c r="L108" s="6">
        <f>IF(D108="","",ROUND(MIN(D108,'Tham số'!$B$6)*'Tham số'!$B$5,0))</f>
        <v/>
      </c>
      <c r="M108" s="6">
        <f>IF(D108="","",MAX(0,K108-L108-'Tham số'!$B$3-N(G108)*'Tham số'!$B$4))</f>
        <v/>
      </c>
      <c r="N108" s="6">
        <f>IF(D108="","",ROUND(SUMPRODUCT(--(M108&gt;'Tham số'!$A$10:$A$16),M108-'Tham số'!$A$10:$A$16,'Tham số'!$C$10:$C$16),0))</f>
        <v/>
      </c>
      <c r="O108" s="6">
        <f>IF(D108="","",K108-L108-N108)</f>
        <v/>
      </c>
      <c r="P108">
        <f>IF(E108="","",IF(E108&gt;=IF(N($B$5)=0,26,$B$5),"Đủ công",IF(E108&gt;=IF(N($B$5)=0,26,$B$5)-3,"Thiếu ít","Thiếu nhiều")))</f>
        <v/>
      </c>
    </row>
    <row r="109" spans="1:16">
      <c r="A109" s="3"/>
      <c r="B109" s="3"/>
      <c r="C109" s="3"/>
      <c r="D109" s="4"/>
      <c r="E109" s="4"/>
      <c r="F109" s="4"/>
      <c r="G109" s="4"/>
      <c r="H109" s="6">
        <f>IF(C109="","",IFERROR(VLOOKUP(C109,'Tham số'!$A$20:$B$25,2,FALSE),0))</f>
        <v/>
      </c>
      <c r="I109" s="6">
        <f>IF(D109="","",ROUND(D109*E109/IF(N($B$5)=0,26,$B$5),0))</f>
        <v/>
      </c>
      <c r="J109" s="6">
        <f>IF(D109="","",ROUND(D109/IF(N($B$5)=0,26,$B$5)/8*1.5*N(F109),0))</f>
        <v/>
      </c>
      <c r="K109" s="6">
        <f>IF(D109="","",I109+J109+N(H109))</f>
        <v/>
      </c>
      <c r="L109" s="6">
        <f>IF(D109="","",ROUND(MIN(D109,'Tham số'!$B$6)*'Tham số'!$B$5,0))</f>
        <v/>
      </c>
      <c r="M109" s="6">
        <f>IF(D109="","",MAX(0,K109-L109-'Tham số'!$B$3-N(G109)*'Tham số'!$B$4))</f>
        <v/>
      </c>
      <c r="N109" s="6">
        <f>IF(D109="","",ROUND(SUMPRODUCT(--(M109&gt;'Tham số'!$A$10:$A$16),M109-'Tham số'!$A$10:$A$16,'Tham số'!$C$10:$C$16),0))</f>
        <v/>
      </c>
      <c r="O109" s="6">
        <f>IF(D109="","",K109-L109-N109)</f>
        <v/>
      </c>
      <c r="P109">
        <f>IF(E109="","",IF(E109&gt;=IF(N($B$5)=0,26,$B$5),"Đủ công",IF(E109&gt;=IF(N($B$5)=0,26,$B$5)-3,"Thiếu ít","Thiếu nhiều")))</f>
        <v/>
      </c>
    </row>
    <row r="110" spans="1:16">
      <c r="A110" s="3"/>
      <c r="B110" s="3"/>
      <c r="C110" s="3"/>
      <c r="D110" s="4"/>
      <c r="E110" s="4"/>
      <c r="F110" s="4"/>
      <c r="G110" s="4"/>
      <c r="H110" s="6">
        <f>IF(C110="","",IFERROR(VLOOKUP(C110,'Tham số'!$A$20:$B$25,2,FALSE),0))</f>
        <v/>
      </c>
      <c r="I110" s="6">
        <f>IF(D110="","",ROUND(D110*E110/IF(N($B$5)=0,26,$B$5),0))</f>
        <v/>
      </c>
      <c r="J110" s="6">
        <f>IF(D110="","",ROUND(D110/IF(N($B$5)=0,26,$B$5)/8*1.5*N(F110),0))</f>
        <v/>
      </c>
      <c r="K110" s="6">
        <f>IF(D110="","",I110+J110+N(H110))</f>
        <v/>
      </c>
      <c r="L110" s="6">
        <f>IF(D110="","",ROUND(MIN(D110,'Tham số'!$B$6)*'Tham số'!$B$5,0))</f>
        <v/>
      </c>
      <c r="M110" s="6">
        <f>IF(D110="","",MAX(0,K110-L110-'Tham số'!$B$3-N(G110)*'Tham số'!$B$4))</f>
        <v/>
      </c>
      <c r="N110" s="6">
        <f>IF(D110="","",ROUND(SUMPRODUCT(--(M110&gt;'Tham số'!$A$10:$A$16),M110-'Tham số'!$A$10:$A$16,'Tham số'!$C$10:$C$16),0))</f>
        <v/>
      </c>
      <c r="O110" s="6">
        <f>IF(D110="","",K110-L110-N110)</f>
        <v/>
      </c>
      <c r="P110">
        <f>IF(E110="","",IF(E110&gt;=IF(N($B$5)=0,26,$B$5),"Đủ công",IF(E110&gt;=IF(N($B$5)=0,26,$B$5)-3,"Thiếu ít","Thiếu nhiều")))</f>
        <v/>
      </c>
    </row>
    <row r="111" spans="1:16">
      <c r="A111" s="3"/>
      <c r="B111" s="3"/>
      <c r="C111" s="3"/>
      <c r="D111" s="4"/>
      <c r="E111" s="4"/>
      <c r="F111" s="4"/>
      <c r="G111" s="4"/>
      <c r="H111" s="6">
        <f>IF(C111="","",IFERROR(VLOOKUP(C111,'Tham số'!$A$20:$B$25,2,FALSE),0))</f>
        <v/>
      </c>
      <c r="I111" s="6">
        <f>IF(D111="","",ROUND(D111*E111/IF(N($B$5)=0,26,$B$5),0))</f>
        <v/>
      </c>
      <c r="J111" s="6">
        <f>IF(D111="","",ROUND(D111/IF(N($B$5)=0,26,$B$5)/8*1.5*N(F111),0))</f>
        <v/>
      </c>
      <c r="K111" s="6">
        <f>IF(D111="","",I111+J111+N(H111))</f>
        <v/>
      </c>
      <c r="L111" s="6">
        <f>IF(D111="","",ROUND(MIN(D111,'Tham số'!$B$6)*'Tham số'!$B$5,0))</f>
        <v/>
      </c>
      <c r="M111" s="6">
        <f>IF(D111="","",MAX(0,K111-L111-'Tham số'!$B$3-N(G111)*'Tham số'!$B$4))</f>
        <v/>
      </c>
      <c r="N111" s="6">
        <f>IF(D111="","",ROUND(SUMPRODUCT(--(M111&gt;'Tham số'!$A$10:$A$16),M111-'Tham số'!$A$10:$A$16,'Tham số'!$C$10:$C$16),0))</f>
        <v/>
      </c>
      <c r="O111" s="6">
        <f>IF(D111="","",K111-L111-N111)</f>
        <v/>
      </c>
      <c r="P111">
        <f>IF(E111="","",IF(E111&gt;=IF(N($B$5)=0,26,$B$5),"Đủ công",IF(E111&gt;=IF(N($B$5)=0,26,$B$5)-3,"Thiếu ít","Thiếu nhiều")))</f>
        <v/>
      </c>
    </row>
    <row r="112" spans="1:16">
      <c r="A112" s="3"/>
      <c r="B112" s="3"/>
      <c r="C112" s="3"/>
      <c r="D112" s="4"/>
      <c r="E112" s="4"/>
      <c r="F112" s="4"/>
      <c r="G112" s="4"/>
      <c r="H112" s="6">
        <f>IF(C112="","",IFERROR(VLOOKUP(C112,'Tham số'!$A$20:$B$25,2,FALSE),0))</f>
        <v/>
      </c>
      <c r="I112" s="6">
        <f>IF(D112="","",ROUND(D112*E112/IF(N($B$5)=0,26,$B$5),0))</f>
        <v/>
      </c>
      <c r="J112" s="6">
        <f>IF(D112="","",ROUND(D112/IF(N($B$5)=0,26,$B$5)/8*1.5*N(F112),0))</f>
        <v/>
      </c>
      <c r="K112" s="6">
        <f>IF(D112="","",I112+J112+N(H112))</f>
        <v/>
      </c>
      <c r="L112" s="6">
        <f>IF(D112="","",ROUND(MIN(D112,'Tham số'!$B$6)*'Tham số'!$B$5,0))</f>
        <v/>
      </c>
      <c r="M112" s="6">
        <f>IF(D112="","",MAX(0,K112-L112-'Tham số'!$B$3-N(G112)*'Tham số'!$B$4))</f>
        <v/>
      </c>
      <c r="N112" s="6">
        <f>IF(D112="","",ROUND(SUMPRODUCT(--(M112&gt;'Tham số'!$A$10:$A$16),M112-'Tham số'!$A$10:$A$16,'Tham số'!$C$10:$C$16),0))</f>
        <v/>
      </c>
      <c r="O112" s="6">
        <f>IF(D112="","",K112-L112-N112)</f>
        <v/>
      </c>
      <c r="P112">
        <f>IF(E112="","",IF(E112&gt;=IF(N($B$5)=0,26,$B$5),"Đủ công",IF(E112&gt;=IF(N($B$5)=0,26,$B$5)-3,"Thiếu ít","Thiếu nhiều")))</f>
        <v/>
      </c>
    </row>
    <row r="113" spans="1:16">
      <c r="A113" s="3"/>
      <c r="B113" s="3"/>
      <c r="C113" s="3"/>
      <c r="D113" s="4"/>
      <c r="E113" s="4"/>
      <c r="F113" s="4"/>
      <c r="G113" s="4"/>
      <c r="H113" s="6">
        <f>IF(C113="","",IFERROR(VLOOKUP(C113,'Tham số'!$A$20:$B$25,2,FALSE),0))</f>
        <v/>
      </c>
      <c r="I113" s="6">
        <f>IF(D113="","",ROUND(D113*E113/IF(N($B$5)=0,26,$B$5),0))</f>
        <v/>
      </c>
      <c r="J113" s="6">
        <f>IF(D113="","",ROUND(D113/IF(N($B$5)=0,26,$B$5)/8*1.5*N(F113),0))</f>
        <v/>
      </c>
      <c r="K113" s="6">
        <f>IF(D113="","",I113+J113+N(H113))</f>
        <v/>
      </c>
      <c r="L113" s="6">
        <f>IF(D113="","",ROUND(MIN(D113,'Tham số'!$B$6)*'Tham số'!$B$5,0))</f>
        <v/>
      </c>
      <c r="M113" s="6">
        <f>IF(D113="","",MAX(0,K113-L113-'Tham số'!$B$3-N(G113)*'Tham số'!$B$4))</f>
        <v/>
      </c>
      <c r="N113" s="6">
        <f>IF(D113="","",ROUND(SUMPRODUCT(--(M113&gt;'Tham số'!$A$10:$A$16),M113-'Tham số'!$A$10:$A$16,'Tham số'!$C$10:$C$16),0))</f>
        <v/>
      </c>
      <c r="O113" s="6">
        <f>IF(D113="","",K113-L113-N113)</f>
        <v/>
      </c>
      <c r="P113">
        <f>IF(E113="","",IF(E113&gt;=IF(N($B$5)=0,26,$B$5),"Đủ công",IF(E113&gt;=IF(N($B$5)=0,26,$B$5)-3,"Thiếu ít","Thiếu nhiều")))</f>
        <v/>
      </c>
    </row>
    <row r="114" spans="1:16">
      <c r="A114" s="3"/>
      <c r="B114" s="3"/>
      <c r="C114" s="3"/>
      <c r="D114" s="4"/>
      <c r="E114" s="4"/>
      <c r="F114" s="4"/>
      <c r="G114" s="4"/>
      <c r="H114" s="6">
        <f>IF(C114="","",IFERROR(VLOOKUP(C114,'Tham số'!$A$20:$B$25,2,FALSE),0))</f>
        <v/>
      </c>
      <c r="I114" s="6">
        <f>IF(D114="","",ROUND(D114*E114/IF(N($B$5)=0,26,$B$5),0))</f>
        <v/>
      </c>
      <c r="J114" s="6">
        <f>IF(D114="","",ROUND(D114/IF(N($B$5)=0,26,$B$5)/8*1.5*N(F114),0))</f>
        <v/>
      </c>
      <c r="K114" s="6">
        <f>IF(D114="","",I114+J114+N(H114))</f>
        <v/>
      </c>
      <c r="L114" s="6">
        <f>IF(D114="","",ROUND(MIN(D114,'Tham số'!$B$6)*'Tham số'!$B$5,0))</f>
        <v/>
      </c>
      <c r="M114" s="6">
        <f>IF(D114="","",MAX(0,K114-L114-'Tham số'!$B$3-N(G114)*'Tham số'!$B$4))</f>
        <v/>
      </c>
      <c r="N114" s="6">
        <f>IF(D114="","",ROUND(SUMPRODUCT(--(M114&gt;'Tham số'!$A$10:$A$16),M114-'Tham số'!$A$10:$A$16,'Tham số'!$C$10:$C$16),0))</f>
        <v/>
      </c>
      <c r="O114" s="6">
        <f>IF(D114="","",K114-L114-N114)</f>
        <v/>
      </c>
      <c r="P114">
        <f>IF(E114="","",IF(E114&gt;=IF(N($B$5)=0,26,$B$5),"Đủ công",IF(E114&gt;=IF(N($B$5)=0,26,$B$5)-3,"Thiếu ít","Thiếu nhiều")))</f>
        <v/>
      </c>
    </row>
    <row r="115" spans="1:16">
      <c r="A115" s="3"/>
      <c r="B115" s="3"/>
      <c r="C115" s="3"/>
      <c r="D115" s="4"/>
      <c r="E115" s="4"/>
      <c r="F115" s="4"/>
      <c r="G115" s="4"/>
      <c r="H115" s="6">
        <f>IF(C115="","",IFERROR(VLOOKUP(C115,'Tham số'!$A$20:$B$25,2,FALSE),0))</f>
        <v/>
      </c>
      <c r="I115" s="6">
        <f>IF(D115="","",ROUND(D115*E115/IF(N($B$5)=0,26,$B$5),0))</f>
        <v/>
      </c>
      <c r="J115" s="6">
        <f>IF(D115="","",ROUND(D115/IF(N($B$5)=0,26,$B$5)/8*1.5*N(F115),0))</f>
        <v/>
      </c>
      <c r="K115" s="6">
        <f>IF(D115="","",I115+J115+N(H115))</f>
        <v/>
      </c>
      <c r="L115" s="6">
        <f>IF(D115="","",ROUND(MIN(D115,'Tham số'!$B$6)*'Tham số'!$B$5,0))</f>
        <v/>
      </c>
      <c r="M115" s="6">
        <f>IF(D115="","",MAX(0,K115-L115-'Tham số'!$B$3-N(G115)*'Tham số'!$B$4))</f>
        <v/>
      </c>
      <c r="N115" s="6">
        <f>IF(D115="","",ROUND(SUMPRODUCT(--(M115&gt;'Tham số'!$A$10:$A$16),M115-'Tham số'!$A$10:$A$16,'Tham số'!$C$10:$C$16),0))</f>
        <v/>
      </c>
      <c r="O115" s="6">
        <f>IF(D115="","",K115-L115-N115)</f>
        <v/>
      </c>
      <c r="P115">
        <f>IF(E115="","",IF(E115&gt;=IF(N($B$5)=0,26,$B$5),"Đủ công",IF(E115&gt;=IF(N($B$5)=0,26,$B$5)-3,"Thiếu ít","Thiếu nhiều")))</f>
        <v/>
      </c>
    </row>
    <row r="116" spans="1:16">
      <c r="A116" s="3"/>
      <c r="B116" s="3"/>
      <c r="C116" s="3"/>
      <c r="D116" s="4"/>
      <c r="E116" s="4"/>
      <c r="F116" s="4"/>
      <c r="G116" s="4"/>
      <c r="H116" s="6">
        <f>IF(C116="","",IFERROR(VLOOKUP(C116,'Tham số'!$A$20:$B$25,2,FALSE),0))</f>
        <v/>
      </c>
      <c r="I116" s="6">
        <f>IF(D116="","",ROUND(D116*E116/IF(N($B$5)=0,26,$B$5),0))</f>
        <v/>
      </c>
      <c r="J116" s="6">
        <f>IF(D116="","",ROUND(D116/IF(N($B$5)=0,26,$B$5)/8*1.5*N(F116),0))</f>
        <v/>
      </c>
      <c r="K116" s="6">
        <f>IF(D116="","",I116+J116+N(H116))</f>
        <v/>
      </c>
      <c r="L116" s="6">
        <f>IF(D116="","",ROUND(MIN(D116,'Tham số'!$B$6)*'Tham số'!$B$5,0))</f>
        <v/>
      </c>
      <c r="M116" s="6">
        <f>IF(D116="","",MAX(0,K116-L116-'Tham số'!$B$3-N(G116)*'Tham số'!$B$4))</f>
        <v/>
      </c>
      <c r="N116" s="6">
        <f>IF(D116="","",ROUND(SUMPRODUCT(--(M116&gt;'Tham số'!$A$10:$A$16),M116-'Tham số'!$A$10:$A$16,'Tham số'!$C$10:$C$16),0))</f>
        <v/>
      </c>
      <c r="O116" s="6">
        <f>IF(D116="","",K116-L116-N116)</f>
        <v/>
      </c>
      <c r="P116">
        <f>IF(E116="","",IF(E116&gt;=IF(N($B$5)=0,26,$B$5),"Đủ công",IF(E116&gt;=IF(N($B$5)=0,26,$B$5)-3,"Thiếu ít","Thiếu nhiều")))</f>
        <v/>
      </c>
    </row>
    <row r="117" spans="1:16">
      <c r="A117" s="3"/>
      <c r="B117" s="3"/>
      <c r="C117" s="3"/>
      <c r="D117" s="4"/>
      <c r="E117" s="4"/>
      <c r="F117" s="4"/>
      <c r="G117" s="4"/>
      <c r="H117" s="6">
        <f>IF(C117="","",IFERROR(VLOOKUP(C117,'Tham số'!$A$20:$B$25,2,FALSE),0))</f>
        <v/>
      </c>
      <c r="I117" s="6">
        <f>IF(D117="","",ROUND(D117*E117/IF(N($B$5)=0,26,$B$5),0))</f>
        <v/>
      </c>
      <c r="J117" s="6">
        <f>IF(D117="","",ROUND(D117/IF(N($B$5)=0,26,$B$5)/8*1.5*N(F117),0))</f>
        <v/>
      </c>
      <c r="K117" s="6">
        <f>IF(D117="","",I117+J117+N(H117))</f>
        <v/>
      </c>
      <c r="L117" s="6">
        <f>IF(D117="","",ROUND(MIN(D117,'Tham số'!$B$6)*'Tham số'!$B$5,0))</f>
        <v/>
      </c>
      <c r="M117" s="6">
        <f>IF(D117="","",MAX(0,K117-L117-'Tham số'!$B$3-N(G117)*'Tham số'!$B$4))</f>
        <v/>
      </c>
      <c r="N117" s="6">
        <f>IF(D117="","",ROUND(SUMPRODUCT(--(M117&gt;'Tham số'!$A$10:$A$16),M117-'Tham số'!$A$10:$A$16,'Tham số'!$C$10:$C$16),0))</f>
        <v/>
      </c>
      <c r="O117" s="6">
        <f>IF(D117="","",K117-L117-N117)</f>
        <v/>
      </c>
      <c r="P117">
        <f>IF(E117="","",IF(E117&gt;=IF(N($B$5)=0,26,$B$5),"Đủ công",IF(E117&gt;=IF(N($B$5)=0,26,$B$5)-3,"Thiếu ít","Thiếu nhiều")))</f>
        <v/>
      </c>
    </row>
    <row r="118" spans="1:16">
      <c r="A118" s="3"/>
      <c r="B118" s="3"/>
      <c r="C118" s="3"/>
      <c r="D118" s="4"/>
      <c r="E118" s="4"/>
      <c r="F118" s="4"/>
      <c r="G118" s="4"/>
      <c r="H118" s="6">
        <f>IF(C118="","",IFERROR(VLOOKUP(C118,'Tham số'!$A$20:$B$25,2,FALSE),0))</f>
        <v/>
      </c>
      <c r="I118" s="6">
        <f>IF(D118="","",ROUND(D118*E118/IF(N($B$5)=0,26,$B$5),0))</f>
        <v/>
      </c>
      <c r="J118" s="6">
        <f>IF(D118="","",ROUND(D118/IF(N($B$5)=0,26,$B$5)/8*1.5*N(F118),0))</f>
        <v/>
      </c>
      <c r="K118" s="6">
        <f>IF(D118="","",I118+J118+N(H118))</f>
        <v/>
      </c>
      <c r="L118" s="6">
        <f>IF(D118="","",ROUND(MIN(D118,'Tham số'!$B$6)*'Tham số'!$B$5,0))</f>
        <v/>
      </c>
      <c r="M118" s="6">
        <f>IF(D118="","",MAX(0,K118-L118-'Tham số'!$B$3-N(G118)*'Tham số'!$B$4))</f>
        <v/>
      </c>
      <c r="N118" s="6">
        <f>IF(D118="","",ROUND(SUMPRODUCT(--(M118&gt;'Tham số'!$A$10:$A$16),M118-'Tham số'!$A$10:$A$16,'Tham số'!$C$10:$C$16),0))</f>
        <v/>
      </c>
      <c r="O118" s="6">
        <f>IF(D118="","",K118-L118-N118)</f>
        <v/>
      </c>
      <c r="P118">
        <f>IF(E118="","",IF(E118&gt;=IF(N($B$5)=0,26,$B$5),"Đủ công",IF(E118&gt;=IF(N($B$5)=0,26,$B$5)-3,"Thiếu ít","Thiếu nhiều")))</f>
        <v/>
      </c>
    </row>
    <row r="119" spans="1:16">
      <c r="A119" s="3"/>
      <c r="B119" s="3"/>
      <c r="C119" s="3"/>
      <c r="D119" s="4"/>
      <c r="E119" s="4"/>
      <c r="F119" s="4"/>
      <c r="G119" s="4"/>
      <c r="H119" s="6">
        <f>IF(C119="","",IFERROR(VLOOKUP(C119,'Tham số'!$A$20:$B$25,2,FALSE),0))</f>
        <v/>
      </c>
      <c r="I119" s="6">
        <f>IF(D119="","",ROUND(D119*E119/IF(N($B$5)=0,26,$B$5),0))</f>
        <v/>
      </c>
      <c r="J119" s="6">
        <f>IF(D119="","",ROUND(D119/IF(N($B$5)=0,26,$B$5)/8*1.5*N(F119),0))</f>
        <v/>
      </c>
      <c r="K119" s="6">
        <f>IF(D119="","",I119+J119+N(H119))</f>
        <v/>
      </c>
      <c r="L119" s="6">
        <f>IF(D119="","",ROUND(MIN(D119,'Tham số'!$B$6)*'Tham số'!$B$5,0))</f>
        <v/>
      </c>
      <c r="M119" s="6">
        <f>IF(D119="","",MAX(0,K119-L119-'Tham số'!$B$3-N(G119)*'Tham số'!$B$4))</f>
        <v/>
      </c>
      <c r="N119" s="6">
        <f>IF(D119="","",ROUND(SUMPRODUCT(--(M119&gt;'Tham số'!$A$10:$A$16),M119-'Tham số'!$A$10:$A$16,'Tham số'!$C$10:$C$16),0))</f>
        <v/>
      </c>
      <c r="O119" s="6">
        <f>IF(D119="","",K119-L119-N119)</f>
        <v/>
      </c>
      <c r="P119">
        <f>IF(E119="","",IF(E119&gt;=IF(N($B$5)=0,26,$B$5),"Đủ công",IF(E119&gt;=IF(N($B$5)=0,26,$B$5)-3,"Thiếu ít","Thiếu nhiều")))</f>
        <v/>
      </c>
    </row>
    <row r="120" spans="1:16">
      <c r="A120" s="3"/>
      <c r="B120" s="3"/>
      <c r="C120" s="3"/>
      <c r="D120" s="4"/>
      <c r="E120" s="4"/>
      <c r="F120" s="4"/>
      <c r="G120" s="4"/>
      <c r="H120" s="6">
        <f>IF(C120="","",IFERROR(VLOOKUP(C120,'Tham số'!$A$20:$B$25,2,FALSE),0))</f>
        <v/>
      </c>
      <c r="I120" s="6">
        <f>IF(D120="","",ROUND(D120*E120/IF(N($B$5)=0,26,$B$5),0))</f>
        <v/>
      </c>
      <c r="J120" s="6">
        <f>IF(D120="","",ROUND(D120/IF(N($B$5)=0,26,$B$5)/8*1.5*N(F120),0))</f>
        <v/>
      </c>
      <c r="K120" s="6">
        <f>IF(D120="","",I120+J120+N(H120))</f>
        <v/>
      </c>
      <c r="L120" s="6">
        <f>IF(D120="","",ROUND(MIN(D120,'Tham số'!$B$6)*'Tham số'!$B$5,0))</f>
        <v/>
      </c>
      <c r="M120" s="6">
        <f>IF(D120="","",MAX(0,K120-L120-'Tham số'!$B$3-N(G120)*'Tham số'!$B$4))</f>
        <v/>
      </c>
      <c r="N120" s="6">
        <f>IF(D120="","",ROUND(SUMPRODUCT(--(M120&gt;'Tham số'!$A$10:$A$16),M120-'Tham số'!$A$10:$A$16,'Tham số'!$C$10:$C$16),0))</f>
        <v/>
      </c>
      <c r="O120" s="6">
        <f>IF(D120="","",K120-L120-N120)</f>
        <v/>
      </c>
      <c r="P120">
        <f>IF(E120="","",IF(E120&gt;=IF(N($B$5)=0,26,$B$5),"Đủ công",IF(E120&gt;=IF(N($B$5)=0,26,$B$5)-3,"Thiếu ít","Thiếu nhiều")))</f>
        <v/>
      </c>
    </row>
    <row r="121" spans="1:16">
      <c r="A121" s="3"/>
      <c r="B121" s="3"/>
      <c r="C121" s="3"/>
      <c r="D121" s="4"/>
      <c r="E121" s="4"/>
      <c r="F121" s="4"/>
      <c r="G121" s="4"/>
      <c r="H121" s="6">
        <f>IF(C121="","",IFERROR(VLOOKUP(C121,'Tham số'!$A$20:$B$25,2,FALSE),0))</f>
        <v/>
      </c>
      <c r="I121" s="6">
        <f>IF(D121="","",ROUND(D121*E121/IF(N($B$5)=0,26,$B$5),0))</f>
        <v/>
      </c>
      <c r="J121" s="6">
        <f>IF(D121="","",ROUND(D121/IF(N($B$5)=0,26,$B$5)/8*1.5*N(F121),0))</f>
        <v/>
      </c>
      <c r="K121" s="6">
        <f>IF(D121="","",I121+J121+N(H121))</f>
        <v/>
      </c>
      <c r="L121" s="6">
        <f>IF(D121="","",ROUND(MIN(D121,'Tham số'!$B$6)*'Tham số'!$B$5,0))</f>
        <v/>
      </c>
      <c r="M121" s="6">
        <f>IF(D121="","",MAX(0,K121-L121-'Tham số'!$B$3-N(G121)*'Tham số'!$B$4))</f>
        <v/>
      </c>
      <c r="N121" s="6">
        <f>IF(D121="","",ROUND(SUMPRODUCT(--(M121&gt;'Tham số'!$A$10:$A$16),M121-'Tham số'!$A$10:$A$16,'Tham số'!$C$10:$C$16),0))</f>
        <v/>
      </c>
      <c r="O121" s="6">
        <f>IF(D121="","",K121-L121-N121)</f>
        <v/>
      </c>
      <c r="P121">
        <f>IF(E121="","",IF(E121&gt;=IF(N($B$5)=0,26,$B$5),"Đủ công",IF(E121&gt;=IF(N($B$5)=0,26,$B$5)-3,"Thiếu ít","Thiếu nhiều")))</f>
        <v/>
      </c>
    </row>
    <row r="122" spans="1:16">
      <c r="A122" s="3"/>
      <c r="B122" s="3"/>
      <c r="C122" s="3"/>
      <c r="D122" s="4"/>
      <c r="E122" s="4"/>
      <c r="F122" s="4"/>
      <c r="G122" s="4"/>
      <c r="H122" s="6">
        <f>IF(C122="","",IFERROR(VLOOKUP(C122,'Tham số'!$A$20:$B$25,2,FALSE),0))</f>
        <v/>
      </c>
      <c r="I122" s="6">
        <f>IF(D122="","",ROUND(D122*E122/IF(N($B$5)=0,26,$B$5),0))</f>
        <v/>
      </c>
      <c r="J122" s="6">
        <f>IF(D122="","",ROUND(D122/IF(N($B$5)=0,26,$B$5)/8*1.5*N(F122),0))</f>
        <v/>
      </c>
      <c r="K122" s="6">
        <f>IF(D122="","",I122+J122+N(H122))</f>
        <v/>
      </c>
      <c r="L122" s="6">
        <f>IF(D122="","",ROUND(MIN(D122,'Tham số'!$B$6)*'Tham số'!$B$5,0))</f>
        <v/>
      </c>
      <c r="M122" s="6">
        <f>IF(D122="","",MAX(0,K122-L122-'Tham số'!$B$3-N(G122)*'Tham số'!$B$4))</f>
        <v/>
      </c>
      <c r="N122" s="6">
        <f>IF(D122="","",ROUND(SUMPRODUCT(--(M122&gt;'Tham số'!$A$10:$A$16),M122-'Tham số'!$A$10:$A$16,'Tham số'!$C$10:$C$16),0))</f>
        <v/>
      </c>
      <c r="O122" s="6">
        <f>IF(D122="","",K122-L122-N122)</f>
        <v/>
      </c>
      <c r="P122">
        <f>IF(E122="","",IF(E122&gt;=IF(N($B$5)=0,26,$B$5),"Đủ công",IF(E122&gt;=IF(N($B$5)=0,26,$B$5)-3,"Thiếu ít","Thiếu nhiều")))</f>
        <v/>
      </c>
    </row>
    <row r="123" spans="1:16">
      <c r="A123" s="3"/>
      <c r="B123" s="3"/>
      <c r="C123" s="3"/>
      <c r="D123" s="4"/>
      <c r="E123" s="4"/>
      <c r="F123" s="4"/>
      <c r="G123" s="4"/>
      <c r="H123" s="6">
        <f>IF(C123="","",IFERROR(VLOOKUP(C123,'Tham số'!$A$20:$B$25,2,FALSE),0))</f>
        <v/>
      </c>
      <c r="I123" s="6">
        <f>IF(D123="","",ROUND(D123*E123/IF(N($B$5)=0,26,$B$5),0))</f>
        <v/>
      </c>
      <c r="J123" s="6">
        <f>IF(D123="","",ROUND(D123/IF(N($B$5)=0,26,$B$5)/8*1.5*N(F123),0))</f>
        <v/>
      </c>
      <c r="K123" s="6">
        <f>IF(D123="","",I123+J123+N(H123))</f>
        <v/>
      </c>
      <c r="L123" s="6">
        <f>IF(D123="","",ROUND(MIN(D123,'Tham số'!$B$6)*'Tham số'!$B$5,0))</f>
        <v/>
      </c>
      <c r="M123" s="6">
        <f>IF(D123="","",MAX(0,K123-L123-'Tham số'!$B$3-N(G123)*'Tham số'!$B$4))</f>
        <v/>
      </c>
      <c r="N123" s="6">
        <f>IF(D123="","",ROUND(SUMPRODUCT(--(M123&gt;'Tham số'!$A$10:$A$16),M123-'Tham số'!$A$10:$A$16,'Tham số'!$C$10:$C$16),0))</f>
        <v/>
      </c>
      <c r="O123" s="6">
        <f>IF(D123="","",K123-L123-N123)</f>
        <v/>
      </c>
      <c r="P123">
        <f>IF(E123="","",IF(E123&gt;=IF(N($B$5)=0,26,$B$5),"Đủ công",IF(E123&gt;=IF(N($B$5)=0,26,$B$5)-3,"Thiếu ít","Thiếu nhiều")))</f>
        <v/>
      </c>
    </row>
    <row r="124" spans="1:16">
      <c r="A124" s="3"/>
      <c r="B124" s="3"/>
      <c r="C124" s="3"/>
      <c r="D124" s="4"/>
      <c r="E124" s="4"/>
      <c r="F124" s="4"/>
      <c r="G124" s="4"/>
      <c r="H124" s="6">
        <f>IF(C124="","",IFERROR(VLOOKUP(C124,'Tham số'!$A$20:$B$25,2,FALSE),0))</f>
        <v/>
      </c>
      <c r="I124" s="6">
        <f>IF(D124="","",ROUND(D124*E124/IF(N($B$5)=0,26,$B$5),0))</f>
        <v/>
      </c>
      <c r="J124" s="6">
        <f>IF(D124="","",ROUND(D124/IF(N($B$5)=0,26,$B$5)/8*1.5*N(F124),0))</f>
        <v/>
      </c>
      <c r="K124" s="6">
        <f>IF(D124="","",I124+J124+N(H124))</f>
        <v/>
      </c>
      <c r="L124" s="6">
        <f>IF(D124="","",ROUND(MIN(D124,'Tham số'!$B$6)*'Tham số'!$B$5,0))</f>
        <v/>
      </c>
      <c r="M124" s="6">
        <f>IF(D124="","",MAX(0,K124-L124-'Tham số'!$B$3-N(G124)*'Tham số'!$B$4))</f>
        <v/>
      </c>
      <c r="N124" s="6">
        <f>IF(D124="","",ROUND(SUMPRODUCT(--(M124&gt;'Tham số'!$A$10:$A$16),M124-'Tham số'!$A$10:$A$16,'Tham số'!$C$10:$C$16),0))</f>
        <v/>
      </c>
      <c r="O124" s="6">
        <f>IF(D124="","",K124-L124-N124)</f>
        <v/>
      </c>
      <c r="P124">
        <f>IF(E124="","",IF(E124&gt;=IF(N($B$5)=0,26,$B$5),"Đủ công",IF(E124&gt;=IF(N($B$5)=0,26,$B$5)-3,"Thiếu ít","Thiếu nhiều")))</f>
        <v/>
      </c>
    </row>
    <row r="125" spans="1:16">
      <c r="A125" s="3"/>
      <c r="B125" s="3"/>
      <c r="C125" s="3"/>
      <c r="D125" s="4"/>
      <c r="E125" s="4"/>
      <c r="F125" s="4"/>
      <c r="G125" s="4"/>
      <c r="H125" s="6">
        <f>IF(C125="","",IFERROR(VLOOKUP(C125,'Tham số'!$A$20:$B$25,2,FALSE),0))</f>
        <v/>
      </c>
      <c r="I125" s="6">
        <f>IF(D125="","",ROUND(D125*E125/IF(N($B$5)=0,26,$B$5),0))</f>
        <v/>
      </c>
      <c r="J125" s="6">
        <f>IF(D125="","",ROUND(D125/IF(N($B$5)=0,26,$B$5)/8*1.5*N(F125),0))</f>
        <v/>
      </c>
      <c r="K125" s="6">
        <f>IF(D125="","",I125+J125+N(H125))</f>
        <v/>
      </c>
      <c r="L125" s="6">
        <f>IF(D125="","",ROUND(MIN(D125,'Tham số'!$B$6)*'Tham số'!$B$5,0))</f>
        <v/>
      </c>
      <c r="M125" s="6">
        <f>IF(D125="","",MAX(0,K125-L125-'Tham số'!$B$3-N(G125)*'Tham số'!$B$4))</f>
        <v/>
      </c>
      <c r="N125" s="6">
        <f>IF(D125="","",ROUND(SUMPRODUCT(--(M125&gt;'Tham số'!$A$10:$A$16),M125-'Tham số'!$A$10:$A$16,'Tham số'!$C$10:$C$16),0))</f>
        <v/>
      </c>
      <c r="O125" s="6">
        <f>IF(D125="","",K125-L125-N125)</f>
        <v/>
      </c>
      <c r="P125">
        <f>IF(E125="","",IF(E125&gt;=IF(N($B$5)=0,26,$B$5),"Đủ công",IF(E125&gt;=IF(N($B$5)=0,26,$B$5)-3,"Thiếu ít","Thiếu nhiều")))</f>
        <v/>
      </c>
    </row>
    <row r="126" spans="1:16">
      <c r="A126" s="3"/>
      <c r="B126" s="3"/>
      <c r="C126" s="3"/>
      <c r="D126" s="4"/>
      <c r="E126" s="4"/>
      <c r="F126" s="4"/>
      <c r="G126" s="4"/>
      <c r="H126" s="6">
        <f>IF(C126="","",IFERROR(VLOOKUP(C126,'Tham số'!$A$20:$B$25,2,FALSE),0))</f>
        <v/>
      </c>
      <c r="I126" s="6">
        <f>IF(D126="","",ROUND(D126*E126/IF(N($B$5)=0,26,$B$5),0))</f>
        <v/>
      </c>
      <c r="J126" s="6">
        <f>IF(D126="","",ROUND(D126/IF(N($B$5)=0,26,$B$5)/8*1.5*N(F126),0))</f>
        <v/>
      </c>
      <c r="K126" s="6">
        <f>IF(D126="","",I126+J126+N(H126))</f>
        <v/>
      </c>
      <c r="L126" s="6">
        <f>IF(D126="","",ROUND(MIN(D126,'Tham số'!$B$6)*'Tham số'!$B$5,0))</f>
        <v/>
      </c>
      <c r="M126" s="6">
        <f>IF(D126="","",MAX(0,K126-L126-'Tham số'!$B$3-N(G126)*'Tham số'!$B$4))</f>
        <v/>
      </c>
      <c r="N126" s="6">
        <f>IF(D126="","",ROUND(SUMPRODUCT(--(M126&gt;'Tham số'!$A$10:$A$16),M126-'Tham số'!$A$10:$A$16,'Tham số'!$C$10:$C$16),0))</f>
        <v/>
      </c>
      <c r="O126" s="6">
        <f>IF(D126="","",K126-L126-N126)</f>
        <v/>
      </c>
      <c r="P126">
        <f>IF(E126="","",IF(E126&gt;=IF(N($B$5)=0,26,$B$5),"Đủ công",IF(E126&gt;=IF(N($B$5)=0,26,$B$5)-3,"Thiếu ít","Thiếu nhiều")))</f>
        <v/>
      </c>
    </row>
    <row r="127" spans="1:16">
      <c r="A127" s="3"/>
      <c r="B127" s="3"/>
      <c r="C127" s="3"/>
      <c r="D127" s="4"/>
      <c r="E127" s="4"/>
      <c r="F127" s="4"/>
      <c r="G127" s="4"/>
      <c r="H127" s="6">
        <f>IF(C127="","",IFERROR(VLOOKUP(C127,'Tham số'!$A$20:$B$25,2,FALSE),0))</f>
        <v/>
      </c>
      <c r="I127" s="6">
        <f>IF(D127="","",ROUND(D127*E127/IF(N($B$5)=0,26,$B$5),0))</f>
        <v/>
      </c>
      <c r="J127" s="6">
        <f>IF(D127="","",ROUND(D127/IF(N($B$5)=0,26,$B$5)/8*1.5*N(F127),0))</f>
        <v/>
      </c>
      <c r="K127" s="6">
        <f>IF(D127="","",I127+J127+N(H127))</f>
        <v/>
      </c>
      <c r="L127" s="6">
        <f>IF(D127="","",ROUND(MIN(D127,'Tham số'!$B$6)*'Tham số'!$B$5,0))</f>
        <v/>
      </c>
      <c r="M127" s="6">
        <f>IF(D127="","",MAX(0,K127-L127-'Tham số'!$B$3-N(G127)*'Tham số'!$B$4))</f>
        <v/>
      </c>
      <c r="N127" s="6">
        <f>IF(D127="","",ROUND(SUMPRODUCT(--(M127&gt;'Tham số'!$A$10:$A$16),M127-'Tham số'!$A$10:$A$16,'Tham số'!$C$10:$C$16),0))</f>
        <v/>
      </c>
      <c r="O127" s="6">
        <f>IF(D127="","",K127-L127-N127)</f>
        <v/>
      </c>
      <c r="P127">
        <f>IF(E127="","",IF(E127&gt;=IF(N($B$5)=0,26,$B$5),"Đủ công",IF(E127&gt;=IF(N($B$5)=0,26,$B$5)-3,"Thiếu ít","Thiếu nhiều")))</f>
        <v/>
      </c>
    </row>
    <row r="128" spans="1:16">
      <c r="A128" s="3"/>
      <c r="B128" s="3"/>
      <c r="C128" s="3"/>
      <c r="D128" s="4"/>
      <c r="E128" s="4"/>
      <c r="F128" s="4"/>
      <c r="G128" s="4"/>
      <c r="H128" s="6">
        <f>IF(C128="","",IFERROR(VLOOKUP(C128,'Tham số'!$A$20:$B$25,2,FALSE),0))</f>
        <v/>
      </c>
      <c r="I128" s="6">
        <f>IF(D128="","",ROUND(D128*E128/IF(N($B$5)=0,26,$B$5),0))</f>
        <v/>
      </c>
      <c r="J128" s="6">
        <f>IF(D128="","",ROUND(D128/IF(N($B$5)=0,26,$B$5)/8*1.5*N(F128),0))</f>
        <v/>
      </c>
      <c r="K128" s="6">
        <f>IF(D128="","",I128+J128+N(H128))</f>
        <v/>
      </c>
      <c r="L128" s="6">
        <f>IF(D128="","",ROUND(MIN(D128,'Tham số'!$B$6)*'Tham số'!$B$5,0))</f>
        <v/>
      </c>
      <c r="M128" s="6">
        <f>IF(D128="","",MAX(0,K128-L128-'Tham số'!$B$3-N(G128)*'Tham số'!$B$4))</f>
        <v/>
      </c>
      <c r="N128" s="6">
        <f>IF(D128="","",ROUND(SUMPRODUCT(--(M128&gt;'Tham số'!$A$10:$A$16),M128-'Tham số'!$A$10:$A$16,'Tham số'!$C$10:$C$16),0))</f>
        <v/>
      </c>
      <c r="O128" s="6">
        <f>IF(D128="","",K128-L128-N128)</f>
        <v/>
      </c>
      <c r="P128">
        <f>IF(E128="","",IF(E128&gt;=IF(N($B$5)=0,26,$B$5),"Đủ công",IF(E128&gt;=IF(N($B$5)=0,26,$B$5)-3,"Thiếu ít","Thiếu nhiều")))</f>
        <v/>
      </c>
    </row>
    <row r="129" spans="1:16">
      <c r="A129" s="3"/>
      <c r="B129" s="3"/>
      <c r="C129" s="3"/>
      <c r="D129" s="4"/>
      <c r="E129" s="4"/>
      <c r="F129" s="4"/>
      <c r="G129" s="4"/>
      <c r="H129" s="6">
        <f>IF(C129="","",IFERROR(VLOOKUP(C129,'Tham số'!$A$20:$B$25,2,FALSE),0))</f>
        <v/>
      </c>
      <c r="I129" s="6">
        <f>IF(D129="","",ROUND(D129*E129/IF(N($B$5)=0,26,$B$5),0))</f>
        <v/>
      </c>
      <c r="J129" s="6">
        <f>IF(D129="","",ROUND(D129/IF(N($B$5)=0,26,$B$5)/8*1.5*N(F129),0))</f>
        <v/>
      </c>
      <c r="K129" s="6">
        <f>IF(D129="","",I129+J129+N(H129))</f>
        <v/>
      </c>
      <c r="L129" s="6">
        <f>IF(D129="","",ROUND(MIN(D129,'Tham số'!$B$6)*'Tham số'!$B$5,0))</f>
        <v/>
      </c>
      <c r="M129" s="6">
        <f>IF(D129="","",MAX(0,K129-L129-'Tham số'!$B$3-N(G129)*'Tham số'!$B$4))</f>
        <v/>
      </c>
      <c r="N129" s="6">
        <f>IF(D129="","",ROUND(SUMPRODUCT(--(M129&gt;'Tham số'!$A$10:$A$16),M129-'Tham số'!$A$10:$A$16,'Tham số'!$C$10:$C$16),0))</f>
        <v/>
      </c>
      <c r="O129" s="6">
        <f>IF(D129="","",K129-L129-N129)</f>
        <v/>
      </c>
      <c r="P129">
        <f>IF(E129="","",IF(E129&gt;=IF(N($B$5)=0,26,$B$5),"Đủ công",IF(E129&gt;=IF(N($B$5)=0,26,$B$5)-3,"Thiếu ít","Thiếu nhiều")))</f>
        <v/>
      </c>
    </row>
    <row r="130" spans="1:16">
      <c r="A130" s="3"/>
      <c r="B130" s="3"/>
      <c r="C130" s="3"/>
      <c r="D130" s="4"/>
      <c r="E130" s="4"/>
      <c r="F130" s="4"/>
      <c r="G130" s="4"/>
      <c r="H130" s="6">
        <f>IF(C130="","",IFERROR(VLOOKUP(C130,'Tham số'!$A$20:$B$25,2,FALSE),0))</f>
        <v/>
      </c>
      <c r="I130" s="6">
        <f>IF(D130="","",ROUND(D130*E130/IF(N($B$5)=0,26,$B$5),0))</f>
        <v/>
      </c>
      <c r="J130" s="6">
        <f>IF(D130="","",ROUND(D130/IF(N($B$5)=0,26,$B$5)/8*1.5*N(F130),0))</f>
        <v/>
      </c>
      <c r="K130" s="6">
        <f>IF(D130="","",I130+J130+N(H130))</f>
        <v/>
      </c>
      <c r="L130" s="6">
        <f>IF(D130="","",ROUND(MIN(D130,'Tham số'!$B$6)*'Tham số'!$B$5,0))</f>
        <v/>
      </c>
      <c r="M130" s="6">
        <f>IF(D130="","",MAX(0,K130-L130-'Tham số'!$B$3-N(G130)*'Tham số'!$B$4))</f>
        <v/>
      </c>
      <c r="N130" s="6">
        <f>IF(D130="","",ROUND(SUMPRODUCT(--(M130&gt;'Tham số'!$A$10:$A$16),M130-'Tham số'!$A$10:$A$16,'Tham số'!$C$10:$C$16),0))</f>
        <v/>
      </c>
      <c r="O130" s="6">
        <f>IF(D130="","",K130-L130-N130)</f>
        <v/>
      </c>
      <c r="P130">
        <f>IF(E130="","",IF(E130&gt;=IF(N($B$5)=0,26,$B$5),"Đủ công",IF(E130&gt;=IF(N($B$5)=0,26,$B$5)-3,"Thiếu ít","Thiếu nhiều")))</f>
        <v/>
      </c>
    </row>
    <row r="131" spans="1:16">
      <c r="A131" s="3"/>
      <c r="B131" s="3"/>
      <c r="C131" s="3"/>
      <c r="D131" s="4"/>
      <c r="E131" s="4"/>
      <c r="F131" s="4"/>
      <c r="G131" s="4"/>
      <c r="H131" s="6">
        <f>IF(C131="","",IFERROR(VLOOKUP(C131,'Tham số'!$A$20:$B$25,2,FALSE),0))</f>
        <v/>
      </c>
      <c r="I131" s="6">
        <f>IF(D131="","",ROUND(D131*E131/IF(N($B$5)=0,26,$B$5),0))</f>
        <v/>
      </c>
      <c r="J131" s="6">
        <f>IF(D131="","",ROUND(D131/IF(N($B$5)=0,26,$B$5)/8*1.5*N(F131),0))</f>
        <v/>
      </c>
      <c r="K131" s="6">
        <f>IF(D131="","",I131+J131+N(H131))</f>
        <v/>
      </c>
      <c r="L131" s="6">
        <f>IF(D131="","",ROUND(MIN(D131,'Tham số'!$B$6)*'Tham số'!$B$5,0))</f>
        <v/>
      </c>
      <c r="M131" s="6">
        <f>IF(D131="","",MAX(0,K131-L131-'Tham số'!$B$3-N(G131)*'Tham số'!$B$4))</f>
        <v/>
      </c>
      <c r="N131" s="6">
        <f>IF(D131="","",ROUND(SUMPRODUCT(--(M131&gt;'Tham số'!$A$10:$A$16),M131-'Tham số'!$A$10:$A$16,'Tham số'!$C$10:$C$16),0))</f>
        <v/>
      </c>
      <c r="O131" s="6">
        <f>IF(D131="","",K131-L131-N131)</f>
        <v/>
      </c>
      <c r="P131">
        <f>IF(E131="","",IF(E131&gt;=IF(N($B$5)=0,26,$B$5),"Đủ công",IF(E131&gt;=IF(N($B$5)=0,26,$B$5)-3,"Thiếu ít","Thiếu nhiều")))</f>
        <v/>
      </c>
    </row>
    <row r="132" spans="1:16">
      <c r="A132" s="3"/>
      <c r="B132" s="3"/>
      <c r="C132" s="3"/>
      <c r="D132" s="4"/>
      <c r="E132" s="4"/>
      <c r="F132" s="4"/>
      <c r="G132" s="4"/>
      <c r="H132" s="6">
        <f>IF(C132="","",IFERROR(VLOOKUP(C132,'Tham số'!$A$20:$B$25,2,FALSE),0))</f>
        <v/>
      </c>
      <c r="I132" s="6">
        <f>IF(D132="","",ROUND(D132*E132/IF(N($B$5)=0,26,$B$5),0))</f>
        <v/>
      </c>
      <c r="J132" s="6">
        <f>IF(D132="","",ROUND(D132/IF(N($B$5)=0,26,$B$5)/8*1.5*N(F132),0))</f>
        <v/>
      </c>
      <c r="K132" s="6">
        <f>IF(D132="","",I132+J132+N(H132))</f>
        <v/>
      </c>
      <c r="L132" s="6">
        <f>IF(D132="","",ROUND(MIN(D132,'Tham số'!$B$6)*'Tham số'!$B$5,0))</f>
        <v/>
      </c>
      <c r="M132" s="6">
        <f>IF(D132="","",MAX(0,K132-L132-'Tham số'!$B$3-N(G132)*'Tham số'!$B$4))</f>
        <v/>
      </c>
      <c r="N132" s="6">
        <f>IF(D132="","",ROUND(SUMPRODUCT(--(M132&gt;'Tham số'!$A$10:$A$16),M132-'Tham số'!$A$10:$A$16,'Tham số'!$C$10:$C$16),0))</f>
        <v/>
      </c>
      <c r="O132" s="6">
        <f>IF(D132="","",K132-L132-N132)</f>
        <v/>
      </c>
      <c r="P132">
        <f>IF(E132="","",IF(E132&gt;=IF(N($B$5)=0,26,$B$5),"Đủ công",IF(E132&gt;=IF(N($B$5)=0,26,$B$5)-3,"Thiếu ít","Thiếu nhiều")))</f>
        <v/>
      </c>
    </row>
    <row r="133" spans="1:16">
      <c r="A133" s="3"/>
      <c r="B133" s="3"/>
      <c r="C133" s="3"/>
      <c r="D133" s="4"/>
      <c r="E133" s="4"/>
      <c r="F133" s="4"/>
      <c r="G133" s="4"/>
      <c r="H133" s="6">
        <f>IF(C133="","",IFERROR(VLOOKUP(C133,'Tham số'!$A$20:$B$25,2,FALSE),0))</f>
        <v/>
      </c>
      <c r="I133" s="6">
        <f>IF(D133="","",ROUND(D133*E133/IF(N($B$5)=0,26,$B$5),0))</f>
        <v/>
      </c>
      <c r="J133" s="6">
        <f>IF(D133="","",ROUND(D133/IF(N($B$5)=0,26,$B$5)/8*1.5*N(F133),0))</f>
        <v/>
      </c>
      <c r="K133" s="6">
        <f>IF(D133="","",I133+J133+N(H133))</f>
        <v/>
      </c>
      <c r="L133" s="6">
        <f>IF(D133="","",ROUND(MIN(D133,'Tham số'!$B$6)*'Tham số'!$B$5,0))</f>
        <v/>
      </c>
      <c r="M133" s="6">
        <f>IF(D133="","",MAX(0,K133-L133-'Tham số'!$B$3-N(G133)*'Tham số'!$B$4))</f>
        <v/>
      </c>
      <c r="N133" s="6">
        <f>IF(D133="","",ROUND(SUMPRODUCT(--(M133&gt;'Tham số'!$A$10:$A$16),M133-'Tham số'!$A$10:$A$16,'Tham số'!$C$10:$C$16),0))</f>
        <v/>
      </c>
      <c r="O133" s="6">
        <f>IF(D133="","",K133-L133-N133)</f>
        <v/>
      </c>
      <c r="P133">
        <f>IF(E133="","",IF(E133&gt;=IF(N($B$5)=0,26,$B$5),"Đủ công",IF(E133&gt;=IF(N($B$5)=0,26,$B$5)-3,"Thiếu ít","Thiếu nhiều")))</f>
        <v/>
      </c>
    </row>
    <row r="134" spans="1:16">
      <c r="A134" s="3"/>
      <c r="B134" s="3"/>
      <c r="C134" s="3"/>
      <c r="D134" s="4"/>
      <c r="E134" s="4"/>
      <c r="F134" s="4"/>
      <c r="G134" s="4"/>
      <c r="H134" s="6">
        <f>IF(C134="","",IFERROR(VLOOKUP(C134,'Tham số'!$A$20:$B$25,2,FALSE),0))</f>
        <v/>
      </c>
      <c r="I134" s="6">
        <f>IF(D134="","",ROUND(D134*E134/IF(N($B$5)=0,26,$B$5),0))</f>
        <v/>
      </c>
      <c r="J134" s="6">
        <f>IF(D134="","",ROUND(D134/IF(N($B$5)=0,26,$B$5)/8*1.5*N(F134),0))</f>
        <v/>
      </c>
      <c r="K134" s="6">
        <f>IF(D134="","",I134+J134+N(H134))</f>
        <v/>
      </c>
      <c r="L134" s="6">
        <f>IF(D134="","",ROUND(MIN(D134,'Tham số'!$B$6)*'Tham số'!$B$5,0))</f>
        <v/>
      </c>
      <c r="M134" s="6">
        <f>IF(D134="","",MAX(0,K134-L134-'Tham số'!$B$3-N(G134)*'Tham số'!$B$4))</f>
        <v/>
      </c>
      <c r="N134" s="6">
        <f>IF(D134="","",ROUND(SUMPRODUCT(--(M134&gt;'Tham số'!$A$10:$A$16),M134-'Tham số'!$A$10:$A$16,'Tham số'!$C$10:$C$16),0))</f>
        <v/>
      </c>
      <c r="O134" s="6">
        <f>IF(D134="","",K134-L134-N134)</f>
        <v/>
      </c>
      <c r="P134">
        <f>IF(E134="","",IF(E134&gt;=IF(N($B$5)=0,26,$B$5),"Đủ công",IF(E134&gt;=IF(N($B$5)=0,26,$B$5)-3,"Thiếu ít","Thiếu nhiều")))</f>
        <v/>
      </c>
    </row>
    <row r="135" spans="1:16">
      <c r="A135" s="3"/>
      <c r="B135" s="3"/>
      <c r="C135" s="3"/>
      <c r="D135" s="4"/>
      <c r="E135" s="4"/>
      <c r="F135" s="4"/>
      <c r="G135" s="4"/>
      <c r="H135" s="6">
        <f>IF(C135="","",IFERROR(VLOOKUP(C135,'Tham số'!$A$20:$B$25,2,FALSE),0))</f>
        <v/>
      </c>
      <c r="I135" s="6">
        <f>IF(D135="","",ROUND(D135*E135/IF(N($B$5)=0,26,$B$5),0))</f>
        <v/>
      </c>
      <c r="J135" s="6">
        <f>IF(D135="","",ROUND(D135/IF(N($B$5)=0,26,$B$5)/8*1.5*N(F135),0))</f>
        <v/>
      </c>
      <c r="K135" s="6">
        <f>IF(D135="","",I135+J135+N(H135))</f>
        <v/>
      </c>
      <c r="L135" s="6">
        <f>IF(D135="","",ROUND(MIN(D135,'Tham số'!$B$6)*'Tham số'!$B$5,0))</f>
        <v/>
      </c>
      <c r="M135" s="6">
        <f>IF(D135="","",MAX(0,K135-L135-'Tham số'!$B$3-N(G135)*'Tham số'!$B$4))</f>
        <v/>
      </c>
      <c r="N135" s="6">
        <f>IF(D135="","",ROUND(SUMPRODUCT(--(M135&gt;'Tham số'!$A$10:$A$16),M135-'Tham số'!$A$10:$A$16,'Tham số'!$C$10:$C$16),0))</f>
        <v/>
      </c>
      <c r="O135" s="6">
        <f>IF(D135="","",K135-L135-N135)</f>
        <v/>
      </c>
      <c r="P135">
        <f>IF(E135="","",IF(E135&gt;=IF(N($B$5)=0,26,$B$5),"Đủ công",IF(E135&gt;=IF(N($B$5)=0,26,$B$5)-3,"Thiếu ít","Thiếu nhiều")))</f>
        <v/>
      </c>
    </row>
    <row r="136" spans="1:16">
      <c r="A136" s="3"/>
      <c r="B136" s="3"/>
      <c r="C136" s="3"/>
      <c r="D136" s="4"/>
      <c r="E136" s="4"/>
      <c r="F136" s="4"/>
      <c r="G136" s="4"/>
      <c r="H136" s="6">
        <f>IF(C136="","",IFERROR(VLOOKUP(C136,'Tham số'!$A$20:$B$25,2,FALSE),0))</f>
        <v/>
      </c>
      <c r="I136" s="6">
        <f>IF(D136="","",ROUND(D136*E136/IF(N($B$5)=0,26,$B$5),0))</f>
        <v/>
      </c>
      <c r="J136" s="6">
        <f>IF(D136="","",ROUND(D136/IF(N($B$5)=0,26,$B$5)/8*1.5*N(F136),0))</f>
        <v/>
      </c>
      <c r="K136" s="6">
        <f>IF(D136="","",I136+J136+N(H136))</f>
        <v/>
      </c>
      <c r="L136" s="6">
        <f>IF(D136="","",ROUND(MIN(D136,'Tham số'!$B$6)*'Tham số'!$B$5,0))</f>
        <v/>
      </c>
      <c r="M136" s="6">
        <f>IF(D136="","",MAX(0,K136-L136-'Tham số'!$B$3-N(G136)*'Tham số'!$B$4))</f>
        <v/>
      </c>
      <c r="N136" s="6">
        <f>IF(D136="","",ROUND(SUMPRODUCT(--(M136&gt;'Tham số'!$A$10:$A$16),M136-'Tham số'!$A$10:$A$16,'Tham số'!$C$10:$C$16),0))</f>
        <v/>
      </c>
      <c r="O136" s="6">
        <f>IF(D136="","",K136-L136-N136)</f>
        <v/>
      </c>
      <c r="P136">
        <f>IF(E136="","",IF(E136&gt;=IF(N($B$5)=0,26,$B$5),"Đủ công",IF(E136&gt;=IF(N($B$5)=0,26,$B$5)-3,"Thiếu ít","Thiếu nhiều")))</f>
        <v/>
      </c>
    </row>
    <row r="137" spans="1:16">
      <c r="A137" s="3"/>
      <c r="B137" s="3"/>
      <c r="C137" s="3"/>
      <c r="D137" s="4"/>
      <c r="E137" s="4"/>
      <c r="F137" s="4"/>
      <c r="G137" s="4"/>
      <c r="H137" s="6">
        <f>IF(C137="","",IFERROR(VLOOKUP(C137,'Tham số'!$A$20:$B$25,2,FALSE),0))</f>
        <v/>
      </c>
      <c r="I137" s="6">
        <f>IF(D137="","",ROUND(D137*E137/IF(N($B$5)=0,26,$B$5),0))</f>
        <v/>
      </c>
      <c r="J137" s="6">
        <f>IF(D137="","",ROUND(D137/IF(N($B$5)=0,26,$B$5)/8*1.5*N(F137),0))</f>
        <v/>
      </c>
      <c r="K137" s="6">
        <f>IF(D137="","",I137+J137+N(H137))</f>
        <v/>
      </c>
      <c r="L137" s="6">
        <f>IF(D137="","",ROUND(MIN(D137,'Tham số'!$B$6)*'Tham số'!$B$5,0))</f>
        <v/>
      </c>
      <c r="M137" s="6">
        <f>IF(D137="","",MAX(0,K137-L137-'Tham số'!$B$3-N(G137)*'Tham số'!$B$4))</f>
        <v/>
      </c>
      <c r="N137" s="6">
        <f>IF(D137="","",ROUND(SUMPRODUCT(--(M137&gt;'Tham số'!$A$10:$A$16),M137-'Tham số'!$A$10:$A$16,'Tham số'!$C$10:$C$16),0))</f>
        <v/>
      </c>
      <c r="O137" s="6">
        <f>IF(D137="","",K137-L137-N137)</f>
        <v/>
      </c>
      <c r="P137">
        <f>IF(E137="","",IF(E137&gt;=IF(N($B$5)=0,26,$B$5),"Đủ công",IF(E137&gt;=IF(N($B$5)=0,26,$B$5)-3,"Thiếu ít","Thiếu nhiều")))</f>
        <v/>
      </c>
    </row>
    <row r="138" spans="1:16">
      <c r="A138" s="3"/>
      <c r="B138" s="3"/>
      <c r="C138" s="3"/>
      <c r="D138" s="4"/>
      <c r="E138" s="4"/>
      <c r="F138" s="4"/>
      <c r="G138" s="4"/>
      <c r="H138" s="6">
        <f>IF(C138="","",IFERROR(VLOOKUP(C138,'Tham số'!$A$20:$B$25,2,FALSE),0))</f>
        <v/>
      </c>
      <c r="I138" s="6">
        <f>IF(D138="","",ROUND(D138*E138/IF(N($B$5)=0,26,$B$5),0))</f>
        <v/>
      </c>
      <c r="J138" s="6">
        <f>IF(D138="","",ROUND(D138/IF(N($B$5)=0,26,$B$5)/8*1.5*N(F138),0))</f>
        <v/>
      </c>
      <c r="K138" s="6">
        <f>IF(D138="","",I138+J138+N(H138))</f>
        <v/>
      </c>
      <c r="L138" s="6">
        <f>IF(D138="","",ROUND(MIN(D138,'Tham số'!$B$6)*'Tham số'!$B$5,0))</f>
        <v/>
      </c>
      <c r="M138" s="6">
        <f>IF(D138="","",MAX(0,K138-L138-'Tham số'!$B$3-N(G138)*'Tham số'!$B$4))</f>
        <v/>
      </c>
      <c r="N138" s="6">
        <f>IF(D138="","",ROUND(SUMPRODUCT(--(M138&gt;'Tham số'!$A$10:$A$16),M138-'Tham số'!$A$10:$A$16,'Tham số'!$C$10:$C$16),0))</f>
        <v/>
      </c>
      <c r="O138" s="6">
        <f>IF(D138="","",K138-L138-N138)</f>
        <v/>
      </c>
      <c r="P138">
        <f>IF(E138="","",IF(E138&gt;=IF(N($B$5)=0,26,$B$5),"Đủ công",IF(E138&gt;=IF(N($B$5)=0,26,$B$5)-3,"Thiếu ít","Thiếu nhiều")))</f>
        <v/>
      </c>
    </row>
    <row r="139" spans="1:16">
      <c r="A139" s="3"/>
      <c r="B139" s="3"/>
      <c r="C139" s="3"/>
      <c r="D139" s="4"/>
      <c r="E139" s="4"/>
      <c r="F139" s="4"/>
      <c r="G139" s="4"/>
      <c r="H139" s="6">
        <f>IF(C139="","",IFERROR(VLOOKUP(C139,'Tham số'!$A$20:$B$25,2,FALSE),0))</f>
        <v/>
      </c>
      <c r="I139" s="6">
        <f>IF(D139="","",ROUND(D139*E139/IF(N($B$5)=0,26,$B$5),0))</f>
        <v/>
      </c>
      <c r="J139" s="6">
        <f>IF(D139="","",ROUND(D139/IF(N($B$5)=0,26,$B$5)/8*1.5*N(F139),0))</f>
        <v/>
      </c>
      <c r="K139" s="6">
        <f>IF(D139="","",I139+J139+N(H139))</f>
        <v/>
      </c>
      <c r="L139" s="6">
        <f>IF(D139="","",ROUND(MIN(D139,'Tham số'!$B$6)*'Tham số'!$B$5,0))</f>
        <v/>
      </c>
      <c r="M139" s="6">
        <f>IF(D139="","",MAX(0,K139-L139-'Tham số'!$B$3-N(G139)*'Tham số'!$B$4))</f>
        <v/>
      </c>
      <c r="N139" s="6">
        <f>IF(D139="","",ROUND(SUMPRODUCT(--(M139&gt;'Tham số'!$A$10:$A$16),M139-'Tham số'!$A$10:$A$16,'Tham số'!$C$10:$C$16),0))</f>
        <v/>
      </c>
      <c r="O139" s="6">
        <f>IF(D139="","",K139-L139-N139)</f>
        <v/>
      </c>
      <c r="P139">
        <f>IF(E139="","",IF(E139&gt;=IF(N($B$5)=0,26,$B$5),"Đủ công",IF(E139&gt;=IF(N($B$5)=0,26,$B$5)-3,"Thiếu ít","Thiếu nhiều")))</f>
        <v/>
      </c>
    </row>
    <row r="140" spans="1:16">
      <c r="A140" s="3"/>
      <c r="B140" s="3"/>
      <c r="C140" s="3"/>
      <c r="D140" s="4"/>
      <c r="E140" s="4"/>
      <c r="F140" s="4"/>
      <c r="G140" s="4"/>
      <c r="H140" s="6">
        <f>IF(C140="","",IFERROR(VLOOKUP(C140,'Tham số'!$A$20:$B$25,2,FALSE),0))</f>
        <v/>
      </c>
      <c r="I140" s="6">
        <f>IF(D140="","",ROUND(D140*E140/IF(N($B$5)=0,26,$B$5),0))</f>
        <v/>
      </c>
      <c r="J140" s="6">
        <f>IF(D140="","",ROUND(D140/IF(N($B$5)=0,26,$B$5)/8*1.5*N(F140),0))</f>
        <v/>
      </c>
      <c r="K140" s="6">
        <f>IF(D140="","",I140+J140+N(H140))</f>
        <v/>
      </c>
      <c r="L140" s="6">
        <f>IF(D140="","",ROUND(MIN(D140,'Tham số'!$B$6)*'Tham số'!$B$5,0))</f>
        <v/>
      </c>
      <c r="M140" s="6">
        <f>IF(D140="","",MAX(0,K140-L140-'Tham số'!$B$3-N(G140)*'Tham số'!$B$4))</f>
        <v/>
      </c>
      <c r="N140" s="6">
        <f>IF(D140="","",ROUND(SUMPRODUCT(--(M140&gt;'Tham số'!$A$10:$A$16),M140-'Tham số'!$A$10:$A$16,'Tham số'!$C$10:$C$16),0))</f>
        <v/>
      </c>
      <c r="O140" s="6">
        <f>IF(D140="","",K140-L140-N140)</f>
        <v/>
      </c>
      <c r="P140">
        <f>IF(E140="","",IF(E140&gt;=IF(N($B$5)=0,26,$B$5),"Đủ công",IF(E140&gt;=IF(N($B$5)=0,26,$B$5)-3,"Thiếu ít","Thiếu nhiều")))</f>
        <v/>
      </c>
    </row>
    <row r="141" spans="1:16">
      <c r="A141" s="3"/>
      <c r="B141" s="3"/>
      <c r="C141" s="3"/>
      <c r="D141" s="4"/>
      <c r="E141" s="4"/>
      <c r="F141" s="4"/>
      <c r="G141" s="4"/>
      <c r="H141" s="6">
        <f>IF(C141="","",IFERROR(VLOOKUP(C141,'Tham số'!$A$20:$B$25,2,FALSE),0))</f>
        <v/>
      </c>
      <c r="I141" s="6">
        <f>IF(D141="","",ROUND(D141*E141/IF(N($B$5)=0,26,$B$5),0))</f>
        <v/>
      </c>
      <c r="J141" s="6">
        <f>IF(D141="","",ROUND(D141/IF(N($B$5)=0,26,$B$5)/8*1.5*N(F141),0))</f>
        <v/>
      </c>
      <c r="K141" s="6">
        <f>IF(D141="","",I141+J141+N(H141))</f>
        <v/>
      </c>
      <c r="L141" s="6">
        <f>IF(D141="","",ROUND(MIN(D141,'Tham số'!$B$6)*'Tham số'!$B$5,0))</f>
        <v/>
      </c>
      <c r="M141" s="6">
        <f>IF(D141="","",MAX(0,K141-L141-'Tham số'!$B$3-N(G141)*'Tham số'!$B$4))</f>
        <v/>
      </c>
      <c r="N141" s="6">
        <f>IF(D141="","",ROUND(SUMPRODUCT(--(M141&gt;'Tham số'!$A$10:$A$16),M141-'Tham số'!$A$10:$A$16,'Tham số'!$C$10:$C$16),0))</f>
        <v/>
      </c>
      <c r="O141" s="6">
        <f>IF(D141="","",K141-L141-N141)</f>
        <v/>
      </c>
      <c r="P141">
        <f>IF(E141="","",IF(E141&gt;=IF(N($B$5)=0,26,$B$5),"Đủ công",IF(E141&gt;=IF(N($B$5)=0,26,$B$5)-3,"Thiếu ít","Thiếu nhiều")))</f>
        <v/>
      </c>
    </row>
    <row r="142" spans="1:16">
      <c r="A142" s="3"/>
      <c r="B142" s="3"/>
      <c r="C142" s="3"/>
      <c r="D142" s="4"/>
      <c r="E142" s="4"/>
      <c r="F142" s="4"/>
      <c r="G142" s="4"/>
      <c r="H142" s="6">
        <f>IF(C142="","",IFERROR(VLOOKUP(C142,'Tham số'!$A$20:$B$25,2,FALSE),0))</f>
        <v/>
      </c>
      <c r="I142" s="6">
        <f>IF(D142="","",ROUND(D142*E142/IF(N($B$5)=0,26,$B$5),0))</f>
        <v/>
      </c>
      <c r="J142" s="6">
        <f>IF(D142="","",ROUND(D142/IF(N($B$5)=0,26,$B$5)/8*1.5*N(F142),0))</f>
        <v/>
      </c>
      <c r="K142" s="6">
        <f>IF(D142="","",I142+J142+N(H142))</f>
        <v/>
      </c>
      <c r="L142" s="6">
        <f>IF(D142="","",ROUND(MIN(D142,'Tham số'!$B$6)*'Tham số'!$B$5,0))</f>
        <v/>
      </c>
      <c r="M142" s="6">
        <f>IF(D142="","",MAX(0,K142-L142-'Tham số'!$B$3-N(G142)*'Tham số'!$B$4))</f>
        <v/>
      </c>
      <c r="N142" s="6">
        <f>IF(D142="","",ROUND(SUMPRODUCT(--(M142&gt;'Tham số'!$A$10:$A$16),M142-'Tham số'!$A$10:$A$16,'Tham số'!$C$10:$C$16),0))</f>
        <v/>
      </c>
      <c r="O142" s="6">
        <f>IF(D142="","",K142-L142-N142)</f>
        <v/>
      </c>
      <c r="P142">
        <f>IF(E142="","",IF(E142&gt;=IF(N($B$5)=0,26,$B$5),"Đủ công",IF(E142&gt;=IF(N($B$5)=0,26,$B$5)-3,"Thiếu ít","Thiếu nhiều")))</f>
        <v/>
      </c>
    </row>
    <row r="143" spans="1:16">
      <c r="A143" s="3"/>
      <c r="B143" s="3"/>
      <c r="C143" s="3"/>
      <c r="D143" s="4"/>
      <c r="E143" s="4"/>
      <c r="F143" s="4"/>
      <c r="G143" s="4"/>
      <c r="H143" s="6">
        <f>IF(C143="","",IFERROR(VLOOKUP(C143,'Tham số'!$A$20:$B$25,2,FALSE),0))</f>
        <v/>
      </c>
      <c r="I143" s="6">
        <f>IF(D143="","",ROUND(D143*E143/IF(N($B$5)=0,26,$B$5),0))</f>
        <v/>
      </c>
      <c r="J143" s="6">
        <f>IF(D143="","",ROUND(D143/IF(N($B$5)=0,26,$B$5)/8*1.5*N(F143),0))</f>
        <v/>
      </c>
      <c r="K143" s="6">
        <f>IF(D143="","",I143+J143+N(H143))</f>
        <v/>
      </c>
      <c r="L143" s="6">
        <f>IF(D143="","",ROUND(MIN(D143,'Tham số'!$B$6)*'Tham số'!$B$5,0))</f>
        <v/>
      </c>
      <c r="M143" s="6">
        <f>IF(D143="","",MAX(0,K143-L143-'Tham số'!$B$3-N(G143)*'Tham số'!$B$4))</f>
        <v/>
      </c>
      <c r="N143" s="6">
        <f>IF(D143="","",ROUND(SUMPRODUCT(--(M143&gt;'Tham số'!$A$10:$A$16),M143-'Tham số'!$A$10:$A$16,'Tham số'!$C$10:$C$16),0))</f>
        <v/>
      </c>
      <c r="O143" s="6">
        <f>IF(D143="","",K143-L143-N143)</f>
        <v/>
      </c>
      <c r="P143">
        <f>IF(E143="","",IF(E143&gt;=IF(N($B$5)=0,26,$B$5),"Đủ công",IF(E143&gt;=IF(N($B$5)=0,26,$B$5)-3,"Thiếu ít","Thiếu nhiều")))</f>
        <v/>
      </c>
    </row>
    <row r="144" spans="1:16">
      <c r="A144" s="3"/>
      <c r="B144" s="3"/>
      <c r="C144" s="3"/>
      <c r="D144" s="4"/>
      <c r="E144" s="4"/>
      <c r="F144" s="4"/>
      <c r="G144" s="4"/>
      <c r="H144" s="6">
        <f>IF(C144="","",IFERROR(VLOOKUP(C144,'Tham số'!$A$20:$B$25,2,FALSE),0))</f>
        <v/>
      </c>
      <c r="I144" s="6">
        <f>IF(D144="","",ROUND(D144*E144/IF(N($B$5)=0,26,$B$5),0))</f>
        <v/>
      </c>
      <c r="J144" s="6">
        <f>IF(D144="","",ROUND(D144/IF(N($B$5)=0,26,$B$5)/8*1.5*N(F144),0))</f>
        <v/>
      </c>
      <c r="K144" s="6">
        <f>IF(D144="","",I144+J144+N(H144))</f>
        <v/>
      </c>
      <c r="L144" s="6">
        <f>IF(D144="","",ROUND(MIN(D144,'Tham số'!$B$6)*'Tham số'!$B$5,0))</f>
        <v/>
      </c>
      <c r="M144" s="6">
        <f>IF(D144="","",MAX(0,K144-L144-'Tham số'!$B$3-N(G144)*'Tham số'!$B$4))</f>
        <v/>
      </c>
      <c r="N144" s="6">
        <f>IF(D144="","",ROUND(SUMPRODUCT(--(M144&gt;'Tham số'!$A$10:$A$16),M144-'Tham số'!$A$10:$A$16,'Tham số'!$C$10:$C$16),0))</f>
        <v/>
      </c>
      <c r="O144" s="6">
        <f>IF(D144="","",K144-L144-N144)</f>
        <v/>
      </c>
      <c r="P144">
        <f>IF(E144="","",IF(E144&gt;=IF(N($B$5)=0,26,$B$5),"Đủ công",IF(E144&gt;=IF(N($B$5)=0,26,$B$5)-3,"Thiếu ít","Thiếu nhiều")))</f>
        <v/>
      </c>
    </row>
    <row r="145" spans="1:16">
      <c r="A145" s="3"/>
      <c r="B145" s="3"/>
      <c r="C145" s="3"/>
      <c r="D145" s="4"/>
      <c r="E145" s="4"/>
      <c r="F145" s="4"/>
      <c r="G145" s="4"/>
      <c r="H145" s="6">
        <f>IF(C145="","",IFERROR(VLOOKUP(C145,'Tham số'!$A$20:$B$25,2,FALSE),0))</f>
        <v/>
      </c>
      <c r="I145" s="6">
        <f>IF(D145="","",ROUND(D145*E145/IF(N($B$5)=0,26,$B$5),0))</f>
        <v/>
      </c>
      <c r="J145" s="6">
        <f>IF(D145="","",ROUND(D145/IF(N($B$5)=0,26,$B$5)/8*1.5*N(F145),0))</f>
        <v/>
      </c>
      <c r="K145" s="6">
        <f>IF(D145="","",I145+J145+N(H145))</f>
        <v/>
      </c>
      <c r="L145" s="6">
        <f>IF(D145="","",ROUND(MIN(D145,'Tham số'!$B$6)*'Tham số'!$B$5,0))</f>
        <v/>
      </c>
      <c r="M145" s="6">
        <f>IF(D145="","",MAX(0,K145-L145-'Tham số'!$B$3-N(G145)*'Tham số'!$B$4))</f>
        <v/>
      </c>
      <c r="N145" s="6">
        <f>IF(D145="","",ROUND(SUMPRODUCT(--(M145&gt;'Tham số'!$A$10:$A$16),M145-'Tham số'!$A$10:$A$16,'Tham số'!$C$10:$C$16),0))</f>
        <v/>
      </c>
      <c r="O145" s="6">
        <f>IF(D145="","",K145-L145-N145)</f>
        <v/>
      </c>
      <c r="P145">
        <f>IF(E145="","",IF(E145&gt;=IF(N($B$5)=0,26,$B$5),"Đủ công",IF(E145&gt;=IF(N($B$5)=0,26,$B$5)-3,"Thiếu ít","Thiếu nhiều")))</f>
        <v/>
      </c>
    </row>
    <row r="146" spans="1:16">
      <c r="A146" s="3"/>
      <c r="B146" s="3"/>
      <c r="C146" s="3"/>
      <c r="D146" s="4"/>
      <c r="E146" s="4"/>
      <c r="F146" s="4"/>
      <c r="G146" s="4"/>
      <c r="H146" s="6">
        <f>IF(C146="","",IFERROR(VLOOKUP(C146,'Tham số'!$A$20:$B$25,2,FALSE),0))</f>
        <v/>
      </c>
      <c r="I146" s="6">
        <f>IF(D146="","",ROUND(D146*E146/IF(N($B$5)=0,26,$B$5),0))</f>
        <v/>
      </c>
      <c r="J146" s="6">
        <f>IF(D146="","",ROUND(D146/IF(N($B$5)=0,26,$B$5)/8*1.5*N(F146),0))</f>
        <v/>
      </c>
      <c r="K146" s="6">
        <f>IF(D146="","",I146+J146+N(H146))</f>
        <v/>
      </c>
      <c r="L146" s="6">
        <f>IF(D146="","",ROUND(MIN(D146,'Tham số'!$B$6)*'Tham số'!$B$5,0))</f>
        <v/>
      </c>
      <c r="M146" s="6">
        <f>IF(D146="","",MAX(0,K146-L146-'Tham số'!$B$3-N(G146)*'Tham số'!$B$4))</f>
        <v/>
      </c>
      <c r="N146" s="6">
        <f>IF(D146="","",ROUND(SUMPRODUCT(--(M146&gt;'Tham số'!$A$10:$A$16),M146-'Tham số'!$A$10:$A$16,'Tham số'!$C$10:$C$16),0))</f>
        <v/>
      </c>
      <c r="O146" s="6">
        <f>IF(D146="","",K146-L146-N146)</f>
        <v/>
      </c>
      <c r="P146">
        <f>IF(E146="","",IF(E146&gt;=IF(N($B$5)=0,26,$B$5),"Đủ công",IF(E146&gt;=IF(N($B$5)=0,26,$B$5)-3,"Thiếu ít","Thiếu nhiều")))</f>
        <v/>
      </c>
    </row>
    <row r="147" spans="1:16">
      <c r="A147" s="3"/>
      <c r="B147" s="3"/>
      <c r="C147" s="3"/>
      <c r="D147" s="4"/>
      <c r="E147" s="4"/>
      <c r="F147" s="4"/>
      <c r="G147" s="4"/>
      <c r="H147" s="6">
        <f>IF(C147="","",IFERROR(VLOOKUP(C147,'Tham số'!$A$20:$B$25,2,FALSE),0))</f>
        <v/>
      </c>
      <c r="I147" s="6">
        <f>IF(D147="","",ROUND(D147*E147/IF(N($B$5)=0,26,$B$5),0))</f>
        <v/>
      </c>
      <c r="J147" s="6">
        <f>IF(D147="","",ROUND(D147/IF(N($B$5)=0,26,$B$5)/8*1.5*N(F147),0))</f>
        <v/>
      </c>
      <c r="K147" s="6">
        <f>IF(D147="","",I147+J147+N(H147))</f>
        <v/>
      </c>
      <c r="L147" s="6">
        <f>IF(D147="","",ROUND(MIN(D147,'Tham số'!$B$6)*'Tham số'!$B$5,0))</f>
        <v/>
      </c>
      <c r="M147" s="6">
        <f>IF(D147="","",MAX(0,K147-L147-'Tham số'!$B$3-N(G147)*'Tham số'!$B$4))</f>
        <v/>
      </c>
      <c r="N147" s="6">
        <f>IF(D147="","",ROUND(SUMPRODUCT(--(M147&gt;'Tham số'!$A$10:$A$16),M147-'Tham số'!$A$10:$A$16,'Tham số'!$C$10:$C$16),0))</f>
        <v/>
      </c>
      <c r="O147" s="6">
        <f>IF(D147="","",K147-L147-N147)</f>
        <v/>
      </c>
      <c r="P147">
        <f>IF(E147="","",IF(E147&gt;=IF(N($B$5)=0,26,$B$5),"Đủ công",IF(E147&gt;=IF(N($B$5)=0,26,$B$5)-3,"Thiếu ít","Thiếu nhiều")))</f>
        <v/>
      </c>
    </row>
    <row r="148" spans="1:16">
      <c r="A148" s="3"/>
      <c r="B148" s="3"/>
      <c r="C148" s="3"/>
      <c r="D148" s="4"/>
      <c r="E148" s="4"/>
      <c r="F148" s="4"/>
      <c r="G148" s="4"/>
      <c r="H148" s="6">
        <f>IF(C148="","",IFERROR(VLOOKUP(C148,'Tham số'!$A$20:$B$25,2,FALSE),0))</f>
        <v/>
      </c>
      <c r="I148" s="6">
        <f>IF(D148="","",ROUND(D148*E148/IF(N($B$5)=0,26,$B$5),0))</f>
        <v/>
      </c>
      <c r="J148" s="6">
        <f>IF(D148="","",ROUND(D148/IF(N($B$5)=0,26,$B$5)/8*1.5*N(F148),0))</f>
        <v/>
      </c>
      <c r="K148" s="6">
        <f>IF(D148="","",I148+J148+N(H148))</f>
        <v/>
      </c>
      <c r="L148" s="6">
        <f>IF(D148="","",ROUND(MIN(D148,'Tham số'!$B$6)*'Tham số'!$B$5,0))</f>
        <v/>
      </c>
      <c r="M148" s="6">
        <f>IF(D148="","",MAX(0,K148-L148-'Tham số'!$B$3-N(G148)*'Tham số'!$B$4))</f>
        <v/>
      </c>
      <c r="N148" s="6">
        <f>IF(D148="","",ROUND(SUMPRODUCT(--(M148&gt;'Tham số'!$A$10:$A$16),M148-'Tham số'!$A$10:$A$16,'Tham số'!$C$10:$C$16),0))</f>
        <v/>
      </c>
      <c r="O148" s="6">
        <f>IF(D148="","",K148-L148-N148)</f>
        <v/>
      </c>
      <c r="P148">
        <f>IF(E148="","",IF(E148&gt;=IF(N($B$5)=0,26,$B$5),"Đủ công",IF(E148&gt;=IF(N($B$5)=0,26,$B$5)-3,"Thiếu ít","Thiếu nhiều")))</f>
        <v/>
      </c>
    </row>
    <row r="149" spans="1:16">
      <c r="A149" s="3"/>
      <c r="B149" s="3"/>
      <c r="C149" s="3"/>
      <c r="D149" s="4"/>
      <c r="E149" s="4"/>
      <c r="F149" s="4"/>
      <c r="G149" s="4"/>
      <c r="H149" s="6">
        <f>IF(C149="","",IFERROR(VLOOKUP(C149,'Tham số'!$A$20:$B$25,2,FALSE),0))</f>
        <v/>
      </c>
      <c r="I149" s="6">
        <f>IF(D149="","",ROUND(D149*E149/IF(N($B$5)=0,26,$B$5),0))</f>
        <v/>
      </c>
      <c r="J149" s="6">
        <f>IF(D149="","",ROUND(D149/IF(N($B$5)=0,26,$B$5)/8*1.5*N(F149),0))</f>
        <v/>
      </c>
      <c r="K149" s="6">
        <f>IF(D149="","",I149+J149+N(H149))</f>
        <v/>
      </c>
      <c r="L149" s="6">
        <f>IF(D149="","",ROUND(MIN(D149,'Tham số'!$B$6)*'Tham số'!$B$5,0))</f>
        <v/>
      </c>
      <c r="M149" s="6">
        <f>IF(D149="","",MAX(0,K149-L149-'Tham số'!$B$3-N(G149)*'Tham số'!$B$4))</f>
        <v/>
      </c>
      <c r="N149" s="6">
        <f>IF(D149="","",ROUND(SUMPRODUCT(--(M149&gt;'Tham số'!$A$10:$A$16),M149-'Tham số'!$A$10:$A$16,'Tham số'!$C$10:$C$16),0))</f>
        <v/>
      </c>
      <c r="O149" s="6">
        <f>IF(D149="","",K149-L149-N149)</f>
        <v/>
      </c>
      <c r="P149">
        <f>IF(E149="","",IF(E149&gt;=IF(N($B$5)=0,26,$B$5),"Đủ công",IF(E149&gt;=IF(N($B$5)=0,26,$B$5)-3,"Thiếu ít","Thiếu nhiều")))</f>
        <v/>
      </c>
    </row>
    <row r="150" spans="1:16">
      <c r="A150" s="3"/>
      <c r="B150" s="3"/>
      <c r="C150" s="3"/>
      <c r="D150" s="4"/>
      <c r="E150" s="4"/>
      <c r="F150" s="4"/>
      <c r="G150" s="4"/>
      <c r="H150" s="6">
        <f>IF(C150="","",IFERROR(VLOOKUP(C150,'Tham số'!$A$20:$B$25,2,FALSE),0))</f>
        <v/>
      </c>
      <c r="I150" s="6">
        <f>IF(D150="","",ROUND(D150*E150/IF(N($B$5)=0,26,$B$5),0))</f>
        <v/>
      </c>
      <c r="J150" s="6">
        <f>IF(D150="","",ROUND(D150/IF(N($B$5)=0,26,$B$5)/8*1.5*N(F150),0))</f>
        <v/>
      </c>
      <c r="K150" s="6">
        <f>IF(D150="","",I150+J150+N(H150))</f>
        <v/>
      </c>
      <c r="L150" s="6">
        <f>IF(D150="","",ROUND(MIN(D150,'Tham số'!$B$6)*'Tham số'!$B$5,0))</f>
        <v/>
      </c>
      <c r="M150" s="6">
        <f>IF(D150="","",MAX(0,K150-L150-'Tham số'!$B$3-N(G150)*'Tham số'!$B$4))</f>
        <v/>
      </c>
      <c r="N150" s="6">
        <f>IF(D150="","",ROUND(SUMPRODUCT(--(M150&gt;'Tham số'!$A$10:$A$16),M150-'Tham số'!$A$10:$A$16,'Tham số'!$C$10:$C$16),0))</f>
        <v/>
      </c>
      <c r="O150" s="6">
        <f>IF(D150="","",K150-L150-N150)</f>
        <v/>
      </c>
      <c r="P150">
        <f>IF(E150="","",IF(E150&gt;=IF(N($B$5)=0,26,$B$5),"Đủ công",IF(E150&gt;=IF(N($B$5)=0,26,$B$5)-3,"Thiếu ít","Thiếu nhiều")))</f>
        <v/>
      </c>
    </row>
    <row r="151" spans="1:16">
      <c r="A151" s="3"/>
      <c r="B151" s="3"/>
      <c r="C151" s="3"/>
      <c r="D151" s="4"/>
      <c r="E151" s="4"/>
      <c r="F151" s="4"/>
      <c r="G151" s="4"/>
      <c r="H151" s="6">
        <f>IF(C151="","",IFERROR(VLOOKUP(C151,'Tham số'!$A$20:$B$25,2,FALSE),0))</f>
        <v/>
      </c>
      <c r="I151" s="6">
        <f>IF(D151="","",ROUND(D151*E151/IF(N($B$5)=0,26,$B$5),0))</f>
        <v/>
      </c>
      <c r="J151" s="6">
        <f>IF(D151="","",ROUND(D151/IF(N($B$5)=0,26,$B$5)/8*1.5*N(F151),0))</f>
        <v/>
      </c>
      <c r="K151" s="6">
        <f>IF(D151="","",I151+J151+N(H151))</f>
        <v/>
      </c>
      <c r="L151" s="6">
        <f>IF(D151="","",ROUND(MIN(D151,'Tham số'!$B$6)*'Tham số'!$B$5,0))</f>
        <v/>
      </c>
      <c r="M151" s="6">
        <f>IF(D151="","",MAX(0,K151-L151-'Tham số'!$B$3-N(G151)*'Tham số'!$B$4))</f>
        <v/>
      </c>
      <c r="N151" s="6">
        <f>IF(D151="","",ROUND(SUMPRODUCT(--(M151&gt;'Tham số'!$A$10:$A$16),M151-'Tham số'!$A$10:$A$16,'Tham số'!$C$10:$C$16),0))</f>
        <v/>
      </c>
      <c r="O151" s="6">
        <f>IF(D151="","",K151-L151-N151)</f>
        <v/>
      </c>
      <c r="P151">
        <f>IF(E151="","",IF(E151&gt;=IF(N($B$5)=0,26,$B$5),"Đủ công",IF(E151&gt;=IF(N($B$5)=0,26,$B$5)-3,"Thiếu ít","Thiếu nhiều")))</f>
        <v/>
      </c>
    </row>
    <row r="152" spans="1:16">
      <c r="A152" s="3"/>
      <c r="B152" s="3"/>
      <c r="C152" s="3"/>
      <c r="D152" s="4"/>
      <c r="E152" s="4"/>
      <c r="F152" s="4"/>
      <c r="G152" s="4"/>
      <c r="H152" s="6">
        <f>IF(C152="","",IFERROR(VLOOKUP(C152,'Tham số'!$A$20:$B$25,2,FALSE),0))</f>
        <v/>
      </c>
      <c r="I152" s="6">
        <f>IF(D152="","",ROUND(D152*E152/IF(N($B$5)=0,26,$B$5),0))</f>
        <v/>
      </c>
      <c r="J152" s="6">
        <f>IF(D152="","",ROUND(D152/IF(N($B$5)=0,26,$B$5)/8*1.5*N(F152),0))</f>
        <v/>
      </c>
      <c r="K152" s="6">
        <f>IF(D152="","",I152+J152+N(H152))</f>
        <v/>
      </c>
      <c r="L152" s="6">
        <f>IF(D152="","",ROUND(MIN(D152,'Tham số'!$B$6)*'Tham số'!$B$5,0))</f>
        <v/>
      </c>
      <c r="M152" s="6">
        <f>IF(D152="","",MAX(0,K152-L152-'Tham số'!$B$3-N(G152)*'Tham số'!$B$4))</f>
        <v/>
      </c>
      <c r="N152" s="6">
        <f>IF(D152="","",ROUND(SUMPRODUCT(--(M152&gt;'Tham số'!$A$10:$A$16),M152-'Tham số'!$A$10:$A$16,'Tham số'!$C$10:$C$16),0))</f>
        <v/>
      </c>
      <c r="O152" s="6">
        <f>IF(D152="","",K152-L152-N152)</f>
        <v/>
      </c>
      <c r="P152">
        <f>IF(E152="","",IF(E152&gt;=IF(N($B$5)=0,26,$B$5),"Đủ công",IF(E152&gt;=IF(N($B$5)=0,26,$B$5)-3,"Thiếu ít","Thiếu nhiều")))</f>
        <v/>
      </c>
    </row>
    <row r="153" spans="1:16">
      <c r="A153" s="3"/>
      <c r="B153" s="3"/>
      <c r="C153" s="3"/>
      <c r="D153" s="4"/>
      <c r="E153" s="4"/>
      <c r="F153" s="4"/>
      <c r="G153" s="4"/>
      <c r="H153" s="6">
        <f>IF(C153="","",IFERROR(VLOOKUP(C153,'Tham số'!$A$20:$B$25,2,FALSE),0))</f>
        <v/>
      </c>
      <c r="I153" s="6">
        <f>IF(D153="","",ROUND(D153*E153/IF(N($B$5)=0,26,$B$5),0))</f>
        <v/>
      </c>
      <c r="J153" s="6">
        <f>IF(D153="","",ROUND(D153/IF(N($B$5)=0,26,$B$5)/8*1.5*N(F153),0))</f>
        <v/>
      </c>
      <c r="K153" s="6">
        <f>IF(D153="","",I153+J153+N(H153))</f>
        <v/>
      </c>
      <c r="L153" s="6">
        <f>IF(D153="","",ROUND(MIN(D153,'Tham số'!$B$6)*'Tham số'!$B$5,0))</f>
        <v/>
      </c>
      <c r="M153" s="6">
        <f>IF(D153="","",MAX(0,K153-L153-'Tham số'!$B$3-N(G153)*'Tham số'!$B$4))</f>
        <v/>
      </c>
      <c r="N153" s="6">
        <f>IF(D153="","",ROUND(SUMPRODUCT(--(M153&gt;'Tham số'!$A$10:$A$16),M153-'Tham số'!$A$10:$A$16,'Tham số'!$C$10:$C$16),0))</f>
        <v/>
      </c>
      <c r="O153" s="6">
        <f>IF(D153="","",K153-L153-N153)</f>
        <v/>
      </c>
      <c r="P153">
        <f>IF(E153="","",IF(E153&gt;=IF(N($B$5)=0,26,$B$5),"Đủ công",IF(E153&gt;=IF(N($B$5)=0,26,$B$5)-3,"Thiếu ít","Thiếu nhiều")))</f>
        <v/>
      </c>
    </row>
    <row r="154" spans="1:16">
      <c r="A154" s="3"/>
      <c r="B154" s="3"/>
      <c r="C154" s="3"/>
      <c r="D154" s="4"/>
      <c r="E154" s="4"/>
      <c r="F154" s="4"/>
      <c r="G154" s="4"/>
      <c r="H154" s="6">
        <f>IF(C154="","",IFERROR(VLOOKUP(C154,'Tham số'!$A$20:$B$25,2,FALSE),0))</f>
        <v/>
      </c>
      <c r="I154" s="6">
        <f>IF(D154="","",ROUND(D154*E154/IF(N($B$5)=0,26,$B$5),0))</f>
        <v/>
      </c>
      <c r="J154" s="6">
        <f>IF(D154="","",ROUND(D154/IF(N($B$5)=0,26,$B$5)/8*1.5*N(F154),0))</f>
        <v/>
      </c>
      <c r="K154" s="6">
        <f>IF(D154="","",I154+J154+N(H154))</f>
        <v/>
      </c>
      <c r="L154" s="6">
        <f>IF(D154="","",ROUND(MIN(D154,'Tham số'!$B$6)*'Tham số'!$B$5,0))</f>
        <v/>
      </c>
      <c r="M154" s="6">
        <f>IF(D154="","",MAX(0,K154-L154-'Tham số'!$B$3-N(G154)*'Tham số'!$B$4))</f>
        <v/>
      </c>
      <c r="N154" s="6">
        <f>IF(D154="","",ROUND(SUMPRODUCT(--(M154&gt;'Tham số'!$A$10:$A$16),M154-'Tham số'!$A$10:$A$16,'Tham số'!$C$10:$C$16),0))</f>
        <v/>
      </c>
      <c r="O154" s="6">
        <f>IF(D154="","",K154-L154-N154)</f>
        <v/>
      </c>
      <c r="P154">
        <f>IF(E154="","",IF(E154&gt;=IF(N($B$5)=0,26,$B$5),"Đủ công",IF(E154&gt;=IF(N($B$5)=0,26,$B$5)-3,"Thiếu ít","Thiếu nhiều")))</f>
        <v/>
      </c>
    </row>
    <row r="155" spans="1:16">
      <c r="A155" s="3"/>
      <c r="B155" s="3"/>
      <c r="C155" s="3"/>
      <c r="D155" s="4"/>
      <c r="E155" s="4"/>
      <c r="F155" s="4"/>
      <c r="G155" s="4"/>
      <c r="H155" s="6">
        <f>IF(C155="","",IFERROR(VLOOKUP(C155,'Tham số'!$A$20:$B$25,2,FALSE),0))</f>
        <v/>
      </c>
      <c r="I155" s="6">
        <f>IF(D155="","",ROUND(D155*E155/IF(N($B$5)=0,26,$B$5),0))</f>
        <v/>
      </c>
      <c r="J155" s="6">
        <f>IF(D155="","",ROUND(D155/IF(N($B$5)=0,26,$B$5)/8*1.5*N(F155),0))</f>
        <v/>
      </c>
      <c r="K155" s="6">
        <f>IF(D155="","",I155+J155+N(H155))</f>
        <v/>
      </c>
      <c r="L155" s="6">
        <f>IF(D155="","",ROUND(MIN(D155,'Tham số'!$B$6)*'Tham số'!$B$5,0))</f>
        <v/>
      </c>
      <c r="M155" s="6">
        <f>IF(D155="","",MAX(0,K155-L155-'Tham số'!$B$3-N(G155)*'Tham số'!$B$4))</f>
        <v/>
      </c>
      <c r="N155" s="6">
        <f>IF(D155="","",ROUND(SUMPRODUCT(--(M155&gt;'Tham số'!$A$10:$A$16),M155-'Tham số'!$A$10:$A$16,'Tham số'!$C$10:$C$16),0))</f>
        <v/>
      </c>
      <c r="O155" s="6">
        <f>IF(D155="","",K155-L155-N155)</f>
        <v/>
      </c>
      <c r="P155">
        <f>IF(E155="","",IF(E155&gt;=IF(N($B$5)=0,26,$B$5),"Đủ công",IF(E155&gt;=IF(N($B$5)=0,26,$B$5)-3,"Thiếu ít","Thiếu nhiều")))</f>
        <v/>
      </c>
    </row>
    <row r="156" spans="1:16">
      <c r="A156" s="3"/>
      <c r="B156" s="3"/>
      <c r="C156" s="3"/>
      <c r="D156" s="4"/>
      <c r="E156" s="4"/>
      <c r="F156" s="4"/>
      <c r="G156" s="4"/>
      <c r="H156" s="6">
        <f>IF(C156="","",IFERROR(VLOOKUP(C156,'Tham số'!$A$20:$B$25,2,FALSE),0))</f>
        <v/>
      </c>
      <c r="I156" s="6">
        <f>IF(D156="","",ROUND(D156*E156/IF(N($B$5)=0,26,$B$5),0))</f>
        <v/>
      </c>
      <c r="J156" s="6">
        <f>IF(D156="","",ROUND(D156/IF(N($B$5)=0,26,$B$5)/8*1.5*N(F156),0))</f>
        <v/>
      </c>
      <c r="K156" s="6">
        <f>IF(D156="","",I156+J156+N(H156))</f>
        <v/>
      </c>
      <c r="L156" s="6">
        <f>IF(D156="","",ROUND(MIN(D156,'Tham số'!$B$6)*'Tham số'!$B$5,0))</f>
        <v/>
      </c>
      <c r="M156" s="6">
        <f>IF(D156="","",MAX(0,K156-L156-'Tham số'!$B$3-N(G156)*'Tham số'!$B$4))</f>
        <v/>
      </c>
      <c r="N156" s="6">
        <f>IF(D156="","",ROUND(SUMPRODUCT(--(M156&gt;'Tham số'!$A$10:$A$16),M156-'Tham số'!$A$10:$A$16,'Tham số'!$C$10:$C$16),0))</f>
        <v/>
      </c>
      <c r="O156" s="6">
        <f>IF(D156="","",K156-L156-N156)</f>
        <v/>
      </c>
      <c r="P156">
        <f>IF(E156="","",IF(E156&gt;=IF(N($B$5)=0,26,$B$5),"Đủ công",IF(E156&gt;=IF(N($B$5)=0,26,$B$5)-3,"Thiếu ít","Thiếu nhiều")))</f>
        <v/>
      </c>
    </row>
    <row r="157" spans="1:16">
      <c r="A157" s="3"/>
      <c r="B157" s="3"/>
      <c r="C157" s="3"/>
      <c r="D157" s="4"/>
      <c r="E157" s="4"/>
      <c r="F157" s="4"/>
      <c r="G157" s="4"/>
      <c r="H157" s="6">
        <f>IF(C157="","",IFERROR(VLOOKUP(C157,'Tham số'!$A$20:$B$25,2,FALSE),0))</f>
        <v/>
      </c>
      <c r="I157" s="6">
        <f>IF(D157="","",ROUND(D157*E157/IF(N($B$5)=0,26,$B$5),0))</f>
        <v/>
      </c>
      <c r="J157" s="6">
        <f>IF(D157="","",ROUND(D157/IF(N($B$5)=0,26,$B$5)/8*1.5*N(F157),0))</f>
        <v/>
      </c>
      <c r="K157" s="6">
        <f>IF(D157="","",I157+J157+N(H157))</f>
        <v/>
      </c>
      <c r="L157" s="6">
        <f>IF(D157="","",ROUND(MIN(D157,'Tham số'!$B$6)*'Tham số'!$B$5,0))</f>
        <v/>
      </c>
      <c r="M157" s="6">
        <f>IF(D157="","",MAX(0,K157-L157-'Tham số'!$B$3-N(G157)*'Tham số'!$B$4))</f>
        <v/>
      </c>
      <c r="N157" s="6">
        <f>IF(D157="","",ROUND(SUMPRODUCT(--(M157&gt;'Tham số'!$A$10:$A$16),M157-'Tham số'!$A$10:$A$16,'Tham số'!$C$10:$C$16),0))</f>
        <v/>
      </c>
      <c r="O157" s="6">
        <f>IF(D157="","",K157-L157-N157)</f>
        <v/>
      </c>
      <c r="P157">
        <f>IF(E157="","",IF(E157&gt;=IF(N($B$5)=0,26,$B$5),"Đủ công",IF(E157&gt;=IF(N($B$5)=0,26,$B$5)-3,"Thiếu ít","Thiếu nhiều")))</f>
        <v/>
      </c>
    </row>
    <row r="158" spans="1:16">
      <c r="A158" s="7">
        <f>COUNTA(B8:B157)&amp;" người"</f>
        <v/>
      </c>
      <c r="B158" s="7" t="s">
        <v>20</v>
      </c>
      <c r="C158" s="7"/>
      <c r="D158" s="7">
        <f>SUM(D8:D157)</f>
        <v>0</v>
      </c>
      <c r="E158" s="7"/>
      <c r="F158" s="7">
        <f>SUM(F8:F157)</f>
        <v>0</v>
      </c>
      <c r="G158" s="7"/>
      <c r="H158" s="7">
        <f>SUM(H8:H157)</f>
        <v>0</v>
      </c>
      <c r="I158" s="7">
        <f>SUM(I8:I157)</f>
        <v>0</v>
      </c>
      <c r="J158" s="7">
        <f>SUM(J8:J157)</f>
        <v>0</v>
      </c>
      <c r="K158" s="7">
        <f>SUM(K8:K157)</f>
        <v>0</v>
      </c>
      <c r="L158" s="7">
        <f>SUM(L8:L157)</f>
        <v>0</v>
      </c>
      <c r="M158" s="7"/>
      <c r="N158" s="7">
        <f>SUM(N8:N157)</f>
        <v>0</v>
      </c>
      <c r="O158" s="7">
        <f>SUM(O8:O157)</f>
        <v>0</v>
      </c>
      <c r="P158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cols>
    <col min="1" max="1" width="30.7109375" customWidth="1"/>
    <col min="2" max="3" width="18.7109375" customWidth="1"/>
  </cols>
  <sheetData>
    <row r="1" spans="1:3">
      <c r="A1" s="8" t="s">
        <v>21</v>
      </c>
    </row>
    <row r="3" spans="1:3">
      <c r="A3" s="2" t="s">
        <v>22</v>
      </c>
      <c r="B3" s="6">
        <v>11000000</v>
      </c>
    </row>
    <row r="4" spans="1:3">
      <c r="A4" s="2" t="s">
        <v>23</v>
      </c>
      <c r="B4" s="6">
        <v>4400000</v>
      </c>
    </row>
    <row r="5" spans="1:3">
      <c r="A5" s="2" t="s">
        <v>24</v>
      </c>
      <c r="B5" s="9">
        <v>0.105</v>
      </c>
    </row>
    <row r="6" spans="1:3">
      <c r="A6" s="2" t="s">
        <v>25</v>
      </c>
      <c r="B6" s="6">
        <v>46800000</v>
      </c>
    </row>
    <row r="8" spans="1:3">
      <c r="A8" s="2" t="s">
        <v>26</v>
      </c>
      <c r="B8" s="2"/>
      <c r="C8" s="2"/>
    </row>
    <row r="9" spans="1:3">
      <c r="A9" s="5" t="s">
        <v>27</v>
      </c>
      <c r="B9" s="5" t="s">
        <v>28</v>
      </c>
      <c r="C9" s="5" t="s">
        <v>29</v>
      </c>
    </row>
    <row r="10" spans="1:3">
      <c r="A10" s="6">
        <v>0</v>
      </c>
      <c r="B10" s="9">
        <v>0.05</v>
      </c>
      <c r="C10" s="9">
        <f>B10</f>
        <v>0.05</v>
      </c>
    </row>
    <row r="11" spans="1:3">
      <c r="A11" s="6">
        <v>5000000</v>
      </c>
      <c r="B11" s="9">
        <v>0.1</v>
      </c>
      <c r="C11" s="9">
        <f>B11-B10</f>
        <v>0.1</v>
      </c>
    </row>
    <row r="12" spans="1:3">
      <c r="A12" s="6">
        <v>10000000</v>
      </c>
      <c r="B12" s="9">
        <v>0.15</v>
      </c>
      <c r="C12" s="9">
        <f>B12-B11</f>
        <v>0.15</v>
      </c>
    </row>
    <row r="13" spans="1:3">
      <c r="A13" s="6">
        <v>18000000</v>
      </c>
      <c r="B13" s="9">
        <v>0.2</v>
      </c>
      <c r="C13" s="9">
        <f>B13-B12</f>
        <v>0.2</v>
      </c>
    </row>
    <row r="14" spans="1:3">
      <c r="A14" s="6">
        <v>32000000</v>
      </c>
      <c r="B14" s="9">
        <v>0.25</v>
      </c>
      <c r="C14" s="9">
        <f>B14-B13</f>
        <v>0.25</v>
      </c>
    </row>
    <row r="15" spans="1:3">
      <c r="A15" s="6">
        <v>52000000</v>
      </c>
      <c r="B15" s="9">
        <v>0.3</v>
      </c>
      <c r="C15" s="9">
        <f>B15-B14</f>
        <v>0.3</v>
      </c>
    </row>
    <row r="16" spans="1:3">
      <c r="A16" s="6">
        <v>80000000</v>
      </c>
      <c r="B16" s="9">
        <v>0.35</v>
      </c>
      <c r="C16" s="9">
        <f>B16-B15</f>
        <v>0.35</v>
      </c>
    </row>
    <row r="18" spans="1:2">
      <c r="A18" s="2" t="s">
        <v>30</v>
      </c>
      <c r="B18" s="2"/>
    </row>
    <row r="19" spans="1:2">
      <c r="A19" s="5" t="s">
        <v>6</v>
      </c>
      <c r="B19" s="5" t="s">
        <v>11</v>
      </c>
    </row>
    <row r="20" spans="1:2">
      <c r="A20" t="s">
        <v>31</v>
      </c>
      <c r="B20" s="6">
        <v>1500000</v>
      </c>
    </row>
    <row r="21" spans="1:2">
      <c r="A21" t="s">
        <v>32</v>
      </c>
      <c r="B21" s="6">
        <v>1000000</v>
      </c>
    </row>
    <row r="22" spans="1:2">
      <c r="A22" t="s">
        <v>33</v>
      </c>
      <c r="B22" s="6">
        <v>2000000</v>
      </c>
    </row>
    <row r="23" spans="1:2">
      <c r="A23" t="s">
        <v>34</v>
      </c>
      <c r="B23" s="6">
        <v>800000</v>
      </c>
    </row>
    <row r="24" spans="1:2">
      <c r="A24" t="s">
        <v>35</v>
      </c>
      <c r="B24" s="6">
        <v>700000</v>
      </c>
    </row>
    <row r="25" spans="1:2">
      <c r="A25" t="s">
        <v>36</v>
      </c>
      <c r="B25" s="6">
        <v>900000</v>
      </c>
    </row>
  </sheetData>
  <mergeCells count="2">
    <mergeCell ref="A8:C8"/>
    <mergeCell ref="A18:B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16.7109375" customWidth="1"/>
    <col min="2" max="8" width="15.7109375" customWidth="1"/>
    <col min="10" max="10" width="28.7109375" customWidth="1"/>
    <col min="11" max="11" width="18.7109375" customWidth="1"/>
  </cols>
  <sheetData>
    <row r="1" spans="1:11">
      <c r="A1" s="1" t="s">
        <v>37</v>
      </c>
    </row>
    <row r="3" spans="1:11">
      <c r="A3" s="5" t="s">
        <v>6</v>
      </c>
      <c r="B3" s="5" t="s">
        <v>38</v>
      </c>
      <c r="C3" s="5" t="s">
        <v>14</v>
      </c>
      <c r="D3" s="5" t="s">
        <v>39</v>
      </c>
      <c r="E3" s="5" t="s">
        <v>17</v>
      </c>
      <c r="F3" s="5" t="s">
        <v>18</v>
      </c>
      <c r="G3" s="5" t="s">
        <v>40</v>
      </c>
      <c r="H3" s="5" t="s">
        <v>41</v>
      </c>
      <c r="J3" s="5" t="s">
        <v>44</v>
      </c>
      <c r="K3" s="5"/>
    </row>
    <row r="4" spans="1:11">
      <c r="A4" t="s">
        <v>31</v>
      </c>
      <c r="B4" s="6">
        <f>COUNTIF('Bảng lương'!$C$8:$C$157,A4)</f>
        <v>0</v>
      </c>
      <c r="C4" s="6">
        <f>SUMIF('Bảng lương'!$C$8:$C$157,A4,'Bảng lương'!$K$8:$K$157)</f>
        <v>0</v>
      </c>
      <c r="D4" s="6">
        <f>SUMIF('Bảng lương'!$C$8:$C$157,A4,'Bảng lương'!$L$8:$L$157)</f>
        <v>0</v>
      </c>
      <c r="E4" s="6">
        <f>SUMIF('Bảng lương'!$C$8:$C$157,A4,'Bảng lương'!$N$8:$N$157)</f>
        <v>0</v>
      </c>
      <c r="F4" s="6">
        <f>SUMIF('Bảng lương'!$C$8:$C$157,A4,'Bảng lương'!$O$8:$O$157)</f>
        <v>0</v>
      </c>
      <c r="G4" s="6">
        <f>IFERROR(AVERAGEIF('Bảng lương'!$C$8:$C$157,A4,'Bảng lương'!$O$8:$O$157),0)</f>
        <v>0</v>
      </c>
      <c r="H4" s="10">
        <f>IF($F$11=0,0,F4/$F$11)</f>
        <v>0</v>
      </c>
      <c r="J4" s="2" t="s">
        <v>45</v>
      </c>
      <c r="K4" s="6">
        <f>MAX('Bảng lương'!$O$8:$O$157)</f>
        <v>0</v>
      </c>
    </row>
    <row r="5" spans="1:11">
      <c r="A5" t="s">
        <v>32</v>
      </c>
      <c r="B5" s="6">
        <f>COUNTIF('Bảng lương'!$C$8:$C$157,A5)</f>
        <v>0</v>
      </c>
      <c r="C5" s="6">
        <f>SUMIF('Bảng lương'!$C$8:$C$157,A5,'Bảng lương'!$K$8:$K$157)</f>
        <v>0</v>
      </c>
      <c r="D5" s="6">
        <f>SUMIF('Bảng lương'!$C$8:$C$157,A5,'Bảng lương'!$L$8:$L$157)</f>
        <v>0</v>
      </c>
      <c r="E5" s="6">
        <f>SUMIF('Bảng lương'!$C$8:$C$157,A5,'Bảng lương'!$N$8:$N$157)</f>
        <v>0</v>
      </c>
      <c r="F5" s="6">
        <f>SUMIF('Bảng lương'!$C$8:$C$157,A5,'Bảng lương'!$O$8:$O$157)</f>
        <v>0</v>
      </c>
      <c r="G5" s="6">
        <f>IFERROR(AVERAGEIF('Bảng lương'!$C$8:$C$157,A5,'Bảng lương'!$O$8:$O$157),0)</f>
        <v>0</v>
      </c>
      <c r="H5" s="10">
        <f>IF($F$11=0,0,F5/$F$11)</f>
        <v>0</v>
      </c>
      <c r="J5" s="2" t="s">
        <v>46</v>
      </c>
      <c r="K5" s="6">
        <f>MIN('Bảng lương'!$O$8:$O$157)</f>
        <v>0</v>
      </c>
    </row>
    <row r="6" spans="1:11">
      <c r="A6" t="s">
        <v>33</v>
      </c>
      <c r="B6" s="6">
        <f>COUNTIF('Bảng lương'!$C$8:$C$157,A6)</f>
        <v>0</v>
      </c>
      <c r="C6" s="6">
        <f>SUMIF('Bảng lương'!$C$8:$C$157,A6,'Bảng lương'!$K$8:$K$157)</f>
        <v>0</v>
      </c>
      <c r="D6" s="6">
        <f>SUMIF('Bảng lương'!$C$8:$C$157,A6,'Bảng lương'!$L$8:$L$157)</f>
        <v>0</v>
      </c>
      <c r="E6" s="6">
        <f>SUMIF('Bảng lương'!$C$8:$C$157,A6,'Bảng lương'!$N$8:$N$157)</f>
        <v>0</v>
      </c>
      <c r="F6" s="6">
        <f>SUMIF('Bảng lương'!$C$8:$C$157,A6,'Bảng lương'!$O$8:$O$157)</f>
        <v>0</v>
      </c>
      <c r="G6" s="6">
        <f>IFERROR(AVERAGEIF('Bảng lương'!$C$8:$C$157,A6,'Bảng lương'!$O$8:$O$157),0)</f>
        <v>0</v>
      </c>
      <c r="H6" s="10">
        <f>IF($F$11=0,0,F6/$F$11)</f>
        <v>0</v>
      </c>
      <c r="J6" s="2" t="s">
        <v>47</v>
      </c>
      <c r="K6" s="6">
        <f>IFERROR(MEDIAN('Bảng lương'!$O$8:$O$157),0)</f>
        <v>0</v>
      </c>
    </row>
    <row r="7" spans="1:11">
      <c r="A7" t="s">
        <v>34</v>
      </c>
      <c r="B7" s="6">
        <f>COUNTIF('Bảng lương'!$C$8:$C$157,A7)</f>
        <v>0</v>
      </c>
      <c r="C7" s="6">
        <f>SUMIF('Bảng lương'!$C$8:$C$157,A7,'Bảng lương'!$K$8:$K$157)</f>
        <v>0</v>
      </c>
      <c r="D7" s="6">
        <f>SUMIF('Bảng lương'!$C$8:$C$157,A7,'Bảng lương'!$L$8:$L$157)</f>
        <v>0</v>
      </c>
      <c r="E7" s="6">
        <f>SUMIF('Bảng lương'!$C$8:$C$157,A7,'Bảng lương'!$N$8:$N$157)</f>
        <v>0</v>
      </c>
      <c r="F7" s="6">
        <f>SUMIF('Bảng lương'!$C$8:$C$157,A7,'Bảng lương'!$O$8:$O$157)</f>
        <v>0</v>
      </c>
      <c r="G7" s="6">
        <f>IFERROR(AVERAGEIF('Bảng lương'!$C$8:$C$157,A7,'Bảng lương'!$O$8:$O$157),0)</f>
        <v>0</v>
      </c>
      <c r="H7" s="10">
        <f>IF($F$11=0,0,F7/$F$11)</f>
        <v>0</v>
      </c>
      <c r="J7" s="2" t="s">
        <v>48</v>
      </c>
      <c r="K7" s="6">
        <f>INDEX('Bảng lương'!$B$8:$B$157,MATCH(MAX('Bảng lương'!$O$8:$O$157),'Bảng lương'!$O$8:$O$157,0))</f>
        <v>0</v>
      </c>
    </row>
    <row r="8" spans="1:11">
      <c r="A8" t="s">
        <v>35</v>
      </c>
      <c r="B8" s="6">
        <f>COUNTIF('Bảng lương'!$C$8:$C$157,A8)</f>
        <v>0</v>
      </c>
      <c r="C8" s="6">
        <f>SUMIF('Bảng lương'!$C$8:$C$157,A8,'Bảng lương'!$K$8:$K$157)</f>
        <v>0</v>
      </c>
      <c r="D8" s="6">
        <f>SUMIF('Bảng lương'!$C$8:$C$157,A8,'Bảng lương'!$L$8:$L$157)</f>
        <v>0</v>
      </c>
      <c r="E8" s="6">
        <f>SUMIF('Bảng lương'!$C$8:$C$157,A8,'Bảng lương'!$N$8:$N$157)</f>
        <v>0</v>
      </c>
      <c r="F8" s="6">
        <f>SUMIF('Bảng lương'!$C$8:$C$157,A8,'Bảng lương'!$O$8:$O$157)</f>
        <v>0</v>
      </c>
      <c r="G8" s="6">
        <f>IFERROR(AVERAGEIF('Bảng lương'!$C$8:$C$157,A8,'Bảng lương'!$O$8:$O$157),0)</f>
        <v>0</v>
      </c>
      <c r="H8" s="10">
        <f>IF($F$11=0,0,F8/$F$11)</f>
        <v>0</v>
      </c>
      <c r="J8" s="2" t="s">
        <v>49</v>
      </c>
      <c r="K8" s="6">
        <f>COUNTIF('Bảng lương'!$N$8:$N$157,"&gt;0")</f>
        <v>0</v>
      </c>
    </row>
    <row r="9" spans="1:11">
      <c r="A9" t="s">
        <v>36</v>
      </c>
      <c r="B9" s="6">
        <f>COUNTIF('Bảng lương'!$C$8:$C$157,A9)</f>
        <v>0</v>
      </c>
      <c r="C9" s="6">
        <f>SUMIF('Bảng lương'!$C$8:$C$157,A9,'Bảng lương'!$K$8:$K$157)</f>
        <v>0</v>
      </c>
      <c r="D9" s="6">
        <f>SUMIF('Bảng lương'!$C$8:$C$157,A9,'Bảng lương'!$L$8:$L$157)</f>
        <v>0</v>
      </c>
      <c r="E9" s="6">
        <f>SUMIF('Bảng lương'!$C$8:$C$157,A9,'Bảng lương'!$N$8:$N$157)</f>
        <v>0</v>
      </c>
      <c r="F9" s="6">
        <f>SUMIF('Bảng lương'!$C$8:$C$157,A9,'Bảng lương'!$O$8:$O$157)</f>
        <v>0</v>
      </c>
      <c r="G9" s="6">
        <f>IFERROR(AVERAGEIF('Bảng lương'!$C$8:$C$157,A9,'Bảng lương'!$O$8:$O$157),0)</f>
        <v>0</v>
      </c>
      <c r="H9" s="10">
        <f>IF($F$11=0,0,F9/$F$11)</f>
        <v>0</v>
      </c>
      <c r="J9" s="2" t="s">
        <v>50</v>
      </c>
      <c r="K9" s="6">
        <f>COUNTIF('Bảng lương'!$P$8:$P$157,"Thiếu nhiều")</f>
        <v>0</v>
      </c>
    </row>
    <row r="10" spans="1:11">
      <c r="A10" t="s">
        <v>42</v>
      </c>
      <c r="B10" s="6">
        <f>COUNTIF('Bảng lương'!$C$8:$C$157,A10)</f>
        <v>0</v>
      </c>
      <c r="C10" s="6">
        <f>SUMIF('Bảng lương'!$C$8:$C$157,A10,'Bảng lương'!$K$8:$K$157)</f>
        <v>0</v>
      </c>
      <c r="D10" s="6">
        <f>SUMIF('Bảng lương'!$C$8:$C$157,A10,'Bảng lương'!$L$8:$L$157)</f>
        <v>0</v>
      </c>
      <c r="E10" s="6">
        <f>SUMIF('Bảng lương'!$C$8:$C$157,A10,'Bảng lương'!$N$8:$N$157)</f>
        <v>0</v>
      </c>
      <c r="F10" s="6">
        <f>SUMIF('Bảng lương'!$C$8:$C$157,A10,'Bảng lương'!$O$8:$O$157)</f>
        <v>0</v>
      </c>
      <c r="G10" s="6">
        <f>IFERROR(AVERAGEIF('Bảng lương'!$C$8:$C$157,A10,'Bảng lương'!$O$8:$O$157),0)</f>
        <v>0</v>
      </c>
      <c r="H10" s="10">
        <f>IF($F$11=0,0,F10/$F$11)</f>
        <v>0</v>
      </c>
      <c r="J10" s="2" t="s">
        <v>51</v>
      </c>
      <c r="K10" s="6">
        <f>SUM('Bảng lương'!$F$8:$F$157)</f>
        <v>0</v>
      </c>
    </row>
    <row r="11" spans="1:11">
      <c r="A11" s="7" t="s">
        <v>43</v>
      </c>
      <c r="B11" s="7">
        <f>SUM(B4:B10)</f>
        <v>0</v>
      </c>
      <c r="C11" s="7">
        <f>SUM(C4:C10)</f>
        <v>0</v>
      </c>
      <c r="D11" s="7">
        <f>SUM(D4:D10)</f>
        <v>0</v>
      </c>
      <c r="E11" s="7">
        <f>SUM(E4:E10)</f>
        <v>0</v>
      </c>
      <c r="F11" s="7">
        <f>SUM(F4:F10)</f>
        <v>0</v>
      </c>
      <c r="G11" s="7">
        <f>IFERROR(F11/B11,0)</f>
        <v>0</v>
      </c>
      <c r="H11" s="11">
        <f>SUM(H4:H10)</f>
        <v>0</v>
      </c>
      <c r="J11" s="2" t="s">
        <v>52</v>
      </c>
      <c r="K11" s="9">
        <f>IFERROR(SUM('Bảng lương'!$N$8:$N$157)/SUM('Bảng lương'!$K$8:$K$157),0)</f>
        <v>0</v>
      </c>
    </row>
  </sheetData>
  <mergeCells count="1"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lương</vt:lpstr>
      <vt:lpstr>Tham số</vt:lpstr>
      <vt:lpstr>Tổng hợp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2026-10-13T16:46:47Z</dcterms:created>
  <dcterms:modified xsi:type="dcterms:W3CDTF">2026-10-13T16:46:47Z</dcterms:modified>
</cp:coreProperties>
</file>