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ổ bán hàng" sheetId="1" r:id="rId1"/>
    <sheet name="Danh mục" sheetId="2" r:id="rId2"/>
    <sheet name="Tổng hợp" sheetId="3" r:id="rId3"/>
  </sheets>
  <definedNames>
    <definedName name="_xlnm._FilterDatabase" localSheetId="0" hidden="1">'Sổ bán hàng'!$A$7:$M$407</definedName>
  </definedNames>
  <calcPr calcId="124519" fullCalcOnLoad="1"/>
</workbook>
</file>

<file path=xl/sharedStrings.xml><?xml version="1.0" encoding="utf-8"?>
<sst xmlns="http://schemas.openxmlformats.org/spreadsheetml/2006/main" count="81" uniqueCount="62">
  <si>
    <t>SỔ CHI TIẾT BÁN HÀNG</t>
  </si>
  <si>
    <t>Năm:</t>
  </si>
  <si>
    <t>Đơn vị:</t>
  </si>
  <si>
    <t>Người lập:</t>
  </si>
  <si>
    <t>Ngày</t>
  </si>
  <si>
    <t>Số HĐ</t>
  </si>
  <si>
    <t>Mã KH</t>
  </si>
  <si>
    <t>Mã hàng</t>
  </si>
  <si>
    <t>Tên hàng</t>
  </si>
  <si>
    <t>Số lượng</t>
  </si>
  <si>
    <t>Đơn giá</t>
  </si>
  <si>
    <t>Thành tiền</t>
  </si>
  <si>
    <t>CK (%)</t>
  </si>
  <si>
    <t>Tiền CK</t>
  </si>
  <si>
    <t>VAT</t>
  </si>
  <si>
    <t>Phải thu</t>
  </si>
  <si>
    <t>Tháng</t>
  </si>
  <si>
    <t>Tổng cộng</t>
  </si>
  <si>
    <t>DANH MỤC HÀNG HÓA</t>
  </si>
  <si>
    <t>SP-01</t>
  </si>
  <si>
    <t>Laptop văn phòng 14 inch</t>
  </si>
  <si>
    <t>SP-02</t>
  </si>
  <si>
    <t>Màn hình 24 inch IPS</t>
  </si>
  <si>
    <t>SP-03</t>
  </si>
  <si>
    <t>Bàn phím cơ</t>
  </si>
  <si>
    <t>SP-04</t>
  </si>
  <si>
    <t>Chuột không dây</t>
  </si>
  <si>
    <t>SP-05</t>
  </si>
  <si>
    <t>Tai nghe chụp tai</t>
  </si>
  <si>
    <t>SP-06</t>
  </si>
  <si>
    <t>Webcam HD</t>
  </si>
  <si>
    <t>SP-07</t>
  </si>
  <si>
    <t>Ổ cứng SSD 1TB</t>
  </si>
  <si>
    <t>SP-08</t>
  </si>
  <si>
    <t>Router Wi-Fi 6</t>
  </si>
  <si>
    <t>SP-09</t>
  </si>
  <si>
    <t>Cáp HDMI 2m</t>
  </si>
  <si>
    <t>SP-10</t>
  </si>
  <si>
    <t>Giá đỡ laptop</t>
  </si>
  <si>
    <t>VAT (%)</t>
  </si>
  <si>
    <t>TỔNG HỢP BÁN HÀNG</t>
  </si>
  <si>
    <t>Số dòng</t>
  </si>
  <si>
    <t>Doanh thu</t>
  </si>
  <si>
    <t>Chiết khấu</t>
  </si>
  <si>
    <t>TB/dòng</t>
  </si>
  <si>
    <t>% cả năm</t>
  </si>
  <si>
    <t>Lũy kế</t>
  </si>
  <si>
    <t>Cả năm</t>
  </si>
  <si>
    <t>Số lượng bán</t>
  </si>
  <si>
    <t>Xếp hạng</t>
  </si>
  <si>
    <t>CHỈ SỐ NHANH</t>
  </si>
  <si>
    <t>Tổng phải thu cả năm</t>
  </si>
  <si>
    <t>Dòng phải thu lớn nhất</t>
  </si>
  <si>
    <t>Dòng phải thu nhỏ nhất</t>
  </si>
  <si>
    <t>Trung bình mỗi dòng</t>
  </si>
  <si>
    <t>Trung vị mỗi dòng</t>
  </si>
  <si>
    <t>Số hóa đơn</t>
  </si>
  <si>
    <t>Số khách hàng</t>
  </si>
  <si>
    <t>Tháng phải thu cao nhất</t>
  </si>
  <si>
    <t>Sản phẩm doanh thu cao nhất</t>
  </si>
  <si>
    <t>Dòng có mã hàng lạ</t>
  </si>
  <si>
    <t>Dòng được chiết khấu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</si>
</sst>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dd/mm/yyyy"/>
    <numFmt numFmtId="166" formatCode="0%"/>
    <numFmt numFmtId="167" formatCode="0.0%"/>
  </numFmts>
  <fonts count="4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9E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rgb="FFB7C9E2"/>
      </left>
      <right style="thin">
        <color rgb="FFB7C9E2"/>
      </right>
      <top style="thin">
        <color rgb="FFB7C9E2"/>
      </top>
      <bottom style="thin">
        <color rgb="FFB7C9E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164" fontId="0" fillId="2" borderId="1" xfId="0" applyNumberFormat="1" applyFill="1" applyBorder="1"/>
    <xf numFmtId="0" fontId="0" fillId="2" borderId="1" xfId="0" applyFill="1" applyBorder="1"/>
    <xf numFmtId="0" fontId="3" fillId="3" borderId="1" xfId="0" applyFont="1" applyFill="1" applyBorder="1" applyAlignment="1">
      <alignment horizontal="center" vertical="center" wrapText="1"/>
    </xf>
    <xf numFmtId="165" fontId="0" fillId="2" borderId="1" xfId="0" applyNumberFormat="1" applyFill="1" applyBorder="1"/>
    <xf numFmtId="164" fontId="0" fillId="0" borderId="1" xfId="0" applyNumberFormat="1" applyBorder="1"/>
    <xf numFmtId="166" fontId="0" fillId="0" borderId="1" xfId="0" applyNumberFormat="1" applyBorder="1"/>
    <xf numFmtId="164" fontId="2" fillId="4" borderId="1" xfId="0" applyNumberFormat="1" applyFont="1" applyFill="1" applyBorder="1"/>
    <xf numFmtId="167" fontId="0" fillId="0" borderId="1" xfId="0" applyNumberFormat="1" applyBorder="1"/>
    <xf numFmtId="167" fontId="2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Phải thu theo tháng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Phải thu</c:v>
          </c:tx>
          <c:marker>
            <c:symbol val="circle"/>
          </c:marker>
          <c:cat>
            <c:numRef>
              <c:f>'Tổng hợp'!$A$4:$A$15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'Tổng hợp'!$F$4:$F$15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18</xdr:row>
      <xdr:rowOff>0</xdr:rowOff>
    </xdr:from>
    <xdr:to>
      <xdr:col>10</xdr:col>
      <xdr:colOff>1019175</xdr:colOff>
      <xdr:row>32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08"/>
  <sheetViews>
    <sheetView tabSelected="1" workbookViewId="0">
      <pane ySplit="7" topLeftCell="A8" activePane="bottomLeft" state="frozen"/>
      <selection pane="bottomLeft"/>
    </sheetView>
  </sheetViews>
  <sheetFormatPr defaultRowHeight="15"/>
  <cols>
    <col min="1" max="4" width="12.7109375" customWidth="1"/>
    <col min="5" max="5" width="26.7109375" customWidth="1"/>
    <col min="6" max="13" width="13.7109375" customWidth="1"/>
  </cols>
  <sheetData>
    <row r="1" spans="1:13">
      <c r="A1" s="1" t="s">
        <v>0</v>
      </c>
    </row>
    <row r="3" spans="1:13">
      <c r="A3" s="2" t="s">
        <v>1</v>
      </c>
      <c r="B3" s="3"/>
    </row>
    <row r="4" spans="1:13">
      <c r="A4" s="2" t="s">
        <v>2</v>
      </c>
      <c r="B4" s="4"/>
    </row>
    <row r="5" spans="1:13">
      <c r="A5" s="2" t="s">
        <v>3</v>
      </c>
      <c r="B5" s="4"/>
    </row>
    <row r="7" spans="1:13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  <c r="H7" s="5" t="s">
        <v>11</v>
      </c>
      <c r="I7" s="5" t="s">
        <v>12</v>
      </c>
      <c r="J7" s="5" t="s">
        <v>13</v>
      </c>
      <c r="K7" s="5" t="s">
        <v>14</v>
      </c>
      <c r="L7" s="5" t="s">
        <v>15</v>
      </c>
      <c r="M7" s="5" t="s">
        <v>16</v>
      </c>
    </row>
    <row r="8" spans="1:13">
      <c r="A8" s="6"/>
      <c r="B8" s="4"/>
      <c r="C8" s="4"/>
      <c r="D8" s="4"/>
      <c r="E8">
        <f>IF(D8="","",IFERROR(VLOOKUP(D8,'Danh mục'!$A$4:$C$13,2,FALSE),"Không rõ mã"))</f>
        <v/>
      </c>
      <c r="F8" s="3"/>
      <c r="G8" s="7">
        <f>IF(D8="","",IFERROR(VLOOKUP(D8,'Danh mục'!$A$4:$C$13,3,FALSE),0))</f>
        <v/>
      </c>
      <c r="H8" s="7">
        <f>IF(F8="","",F8*G8)</f>
        <v/>
      </c>
      <c r="I8" s="8">
        <f>IF(F8="","",IF(F8&gt;=50,5%,IF(F8&gt;=20,2%,0)))</f>
        <v/>
      </c>
      <c r="J8" s="7">
        <f>IF(H8="","",ROUND(H8*I8,0))</f>
        <v/>
      </c>
      <c r="K8" s="7">
        <f>IF(H8="","",ROUND((H8-J8)*'Danh mục'!$F$3/100,0))</f>
        <v/>
      </c>
      <c r="L8" s="7">
        <f>IF(H8="","",H8-J8+K8)</f>
        <v/>
      </c>
      <c r="M8">
        <f>IF(A8="","",MONTH(A8))</f>
        <v/>
      </c>
    </row>
    <row r="9" spans="1:13">
      <c r="A9" s="6"/>
      <c r="B9" s="4"/>
      <c r="C9" s="4"/>
      <c r="D9" s="4"/>
      <c r="E9">
        <f>IF(D9="","",IFERROR(VLOOKUP(D9,'Danh mục'!$A$4:$C$13,2,FALSE),"Không rõ mã"))</f>
        <v/>
      </c>
      <c r="F9" s="3"/>
      <c r="G9" s="7">
        <f>IF(D9="","",IFERROR(VLOOKUP(D9,'Danh mục'!$A$4:$C$13,3,FALSE),0))</f>
        <v/>
      </c>
      <c r="H9" s="7">
        <f>IF(F9="","",F9*G9)</f>
        <v/>
      </c>
      <c r="I9" s="8">
        <f>IF(F9="","",IF(F9&gt;=50,5%,IF(F9&gt;=20,2%,0)))</f>
        <v/>
      </c>
      <c r="J9" s="7">
        <f>IF(H9="","",ROUND(H9*I9,0))</f>
        <v/>
      </c>
      <c r="K9" s="7">
        <f>IF(H9="","",ROUND((H9-J9)*'Danh mục'!$F$3/100,0))</f>
        <v/>
      </c>
      <c r="L9" s="7">
        <f>IF(H9="","",H9-J9+K9)</f>
        <v/>
      </c>
      <c r="M9">
        <f>IF(A9="","",MONTH(A9))</f>
        <v/>
      </c>
    </row>
    <row r="10" spans="1:13">
      <c r="A10" s="6"/>
      <c r="B10" s="4"/>
      <c r="C10" s="4"/>
      <c r="D10" s="4"/>
      <c r="E10">
        <f>IF(D10="","",IFERROR(VLOOKUP(D10,'Danh mục'!$A$4:$C$13,2,FALSE),"Không rõ mã"))</f>
        <v/>
      </c>
      <c r="F10" s="3"/>
      <c r="G10" s="7">
        <f>IF(D10="","",IFERROR(VLOOKUP(D10,'Danh mục'!$A$4:$C$13,3,FALSE),0))</f>
        <v/>
      </c>
      <c r="H10" s="7">
        <f>IF(F10="","",F10*G10)</f>
        <v/>
      </c>
      <c r="I10" s="8">
        <f>IF(F10="","",IF(F10&gt;=50,5%,IF(F10&gt;=20,2%,0)))</f>
        <v/>
      </c>
      <c r="J10" s="7">
        <f>IF(H10="","",ROUND(H10*I10,0))</f>
        <v/>
      </c>
      <c r="K10" s="7">
        <f>IF(H10="","",ROUND((H10-J10)*'Danh mục'!$F$3/100,0))</f>
        <v/>
      </c>
      <c r="L10" s="7">
        <f>IF(H10="","",H10-J10+K10)</f>
        <v/>
      </c>
      <c r="M10">
        <f>IF(A10="","",MONTH(A10))</f>
        <v/>
      </c>
    </row>
    <row r="11" spans="1:13">
      <c r="A11" s="6"/>
      <c r="B11" s="4"/>
      <c r="C11" s="4"/>
      <c r="D11" s="4"/>
      <c r="E11">
        <f>IF(D11="","",IFERROR(VLOOKUP(D11,'Danh mục'!$A$4:$C$13,2,FALSE),"Không rõ mã"))</f>
        <v/>
      </c>
      <c r="F11" s="3"/>
      <c r="G11" s="7">
        <f>IF(D11="","",IFERROR(VLOOKUP(D11,'Danh mục'!$A$4:$C$13,3,FALSE),0))</f>
        <v/>
      </c>
      <c r="H11" s="7">
        <f>IF(F11="","",F11*G11)</f>
        <v/>
      </c>
      <c r="I11" s="8">
        <f>IF(F11="","",IF(F11&gt;=50,5%,IF(F11&gt;=20,2%,0)))</f>
        <v/>
      </c>
      <c r="J11" s="7">
        <f>IF(H11="","",ROUND(H11*I11,0))</f>
        <v/>
      </c>
      <c r="K11" s="7">
        <f>IF(H11="","",ROUND((H11-J11)*'Danh mục'!$F$3/100,0))</f>
        <v/>
      </c>
      <c r="L11" s="7">
        <f>IF(H11="","",H11-J11+K11)</f>
        <v/>
      </c>
      <c r="M11">
        <f>IF(A11="","",MONTH(A11))</f>
        <v/>
      </c>
    </row>
    <row r="12" spans="1:13">
      <c r="A12" s="6"/>
      <c r="B12" s="4"/>
      <c r="C12" s="4"/>
      <c r="D12" s="4"/>
      <c r="E12">
        <f>IF(D12="","",IFERROR(VLOOKUP(D12,'Danh mục'!$A$4:$C$13,2,FALSE),"Không rõ mã"))</f>
        <v/>
      </c>
      <c r="F12" s="3"/>
      <c r="G12" s="7">
        <f>IF(D12="","",IFERROR(VLOOKUP(D12,'Danh mục'!$A$4:$C$13,3,FALSE),0))</f>
        <v/>
      </c>
      <c r="H12" s="7">
        <f>IF(F12="","",F12*G12)</f>
        <v/>
      </c>
      <c r="I12" s="8">
        <f>IF(F12="","",IF(F12&gt;=50,5%,IF(F12&gt;=20,2%,0)))</f>
        <v/>
      </c>
      <c r="J12" s="7">
        <f>IF(H12="","",ROUND(H12*I12,0))</f>
        <v/>
      </c>
      <c r="K12" s="7">
        <f>IF(H12="","",ROUND((H12-J12)*'Danh mục'!$F$3/100,0))</f>
        <v/>
      </c>
      <c r="L12" s="7">
        <f>IF(H12="","",H12-J12+K12)</f>
        <v/>
      </c>
      <c r="M12">
        <f>IF(A12="","",MONTH(A12))</f>
        <v/>
      </c>
    </row>
    <row r="13" spans="1:13">
      <c r="A13" s="6"/>
      <c r="B13" s="4"/>
      <c r="C13" s="4"/>
      <c r="D13" s="4"/>
      <c r="E13">
        <f>IF(D13="","",IFERROR(VLOOKUP(D13,'Danh mục'!$A$4:$C$13,2,FALSE),"Không rõ mã"))</f>
        <v/>
      </c>
      <c r="F13" s="3"/>
      <c r="G13" s="7">
        <f>IF(D13="","",IFERROR(VLOOKUP(D13,'Danh mục'!$A$4:$C$13,3,FALSE),0))</f>
        <v/>
      </c>
      <c r="H13" s="7">
        <f>IF(F13="","",F13*G13)</f>
        <v/>
      </c>
      <c r="I13" s="8">
        <f>IF(F13="","",IF(F13&gt;=50,5%,IF(F13&gt;=20,2%,0)))</f>
        <v/>
      </c>
      <c r="J13" s="7">
        <f>IF(H13="","",ROUND(H13*I13,0))</f>
        <v/>
      </c>
      <c r="K13" s="7">
        <f>IF(H13="","",ROUND((H13-J13)*'Danh mục'!$F$3/100,0))</f>
        <v/>
      </c>
      <c r="L13" s="7">
        <f>IF(H13="","",H13-J13+K13)</f>
        <v/>
      </c>
      <c r="M13">
        <f>IF(A13="","",MONTH(A13))</f>
        <v/>
      </c>
    </row>
    <row r="14" spans="1:13">
      <c r="A14" s="6"/>
      <c r="B14" s="4"/>
      <c r="C14" s="4"/>
      <c r="D14" s="4"/>
      <c r="E14">
        <f>IF(D14="","",IFERROR(VLOOKUP(D14,'Danh mục'!$A$4:$C$13,2,FALSE),"Không rõ mã"))</f>
        <v/>
      </c>
      <c r="F14" s="3"/>
      <c r="G14" s="7">
        <f>IF(D14="","",IFERROR(VLOOKUP(D14,'Danh mục'!$A$4:$C$13,3,FALSE),0))</f>
        <v/>
      </c>
      <c r="H14" s="7">
        <f>IF(F14="","",F14*G14)</f>
        <v/>
      </c>
      <c r="I14" s="8">
        <f>IF(F14="","",IF(F14&gt;=50,5%,IF(F14&gt;=20,2%,0)))</f>
        <v/>
      </c>
      <c r="J14" s="7">
        <f>IF(H14="","",ROUND(H14*I14,0))</f>
        <v/>
      </c>
      <c r="K14" s="7">
        <f>IF(H14="","",ROUND((H14-J14)*'Danh mục'!$F$3/100,0))</f>
        <v/>
      </c>
      <c r="L14" s="7">
        <f>IF(H14="","",H14-J14+K14)</f>
        <v/>
      </c>
      <c r="M14">
        <f>IF(A14="","",MONTH(A14))</f>
        <v/>
      </c>
    </row>
    <row r="15" spans="1:13">
      <c r="A15" s="6"/>
      <c r="B15" s="4"/>
      <c r="C15" s="4"/>
      <c r="D15" s="4"/>
      <c r="E15">
        <f>IF(D15="","",IFERROR(VLOOKUP(D15,'Danh mục'!$A$4:$C$13,2,FALSE),"Không rõ mã"))</f>
        <v/>
      </c>
      <c r="F15" s="3"/>
      <c r="G15" s="7">
        <f>IF(D15="","",IFERROR(VLOOKUP(D15,'Danh mục'!$A$4:$C$13,3,FALSE),0))</f>
        <v/>
      </c>
      <c r="H15" s="7">
        <f>IF(F15="","",F15*G15)</f>
        <v/>
      </c>
      <c r="I15" s="8">
        <f>IF(F15="","",IF(F15&gt;=50,5%,IF(F15&gt;=20,2%,0)))</f>
        <v/>
      </c>
      <c r="J15" s="7">
        <f>IF(H15="","",ROUND(H15*I15,0))</f>
        <v/>
      </c>
      <c r="K15" s="7">
        <f>IF(H15="","",ROUND((H15-J15)*'Danh mục'!$F$3/100,0))</f>
        <v/>
      </c>
      <c r="L15" s="7">
        <f>IF(H15="","",H15-J15+K15)</f>
        <v/>
      </c>
      <c r="M15">
        <f>IF(A15="","",MONTH(A15))</f>
        <v/>
      </c>
    </row>
    <row r="16" spans="1:13">
      <c r="A16" s="6"/>
      <c r="B16" s="4"/>
      <c r="C16" s="4"/>
      <c r="D16" s="4"/>
      <c r="E16">
        <f>IF(D16="","",IFERROR(VLOOKUP(D16,'Danh mục'!$A$4:$C$13,2,FALSE),"Không rõ mã"))</f>
        <v/>
      </c>
      <c r="F16" s="3"/>
      <c r="G16" s="7">
        <f>IF(D16="","",IFERROR(VLOOKUP(D16,'Danh mục'!$A$4:$C$13,3,FALSE),0))</f>
        <v/>
      </c>
      <c r="H16" s="7">
        <f>IF(F16="","",F16*G16)</f>
        <v/>
      </c>
      <c r="I16" s="8">
        <f>IF(F16="","",IF(F16&gt;=50,5%,IF(F16&gt;=20,2%,0)))</f>
        <v/>
      </c>
      <c r="J16" s="7">
        <f>IF(H16="","",ROUND(H16*I16,0))</f>
        <v/>
      </c>
      <c r="K16" s="7">
        <f>IF(H16="","",ROUND((H16-J16)*'Danh mục'!$F$3/100,0))</f>
        <v/>
      </c>
      <c r="L16" s="7">
        <f>IF(H16="","",H16-J16+K16)</f>
        <v/>
      </c>
      <c r="M16">
        <f>IF(A16="","",MONTH(A16))</f>
        <v/>
      </c>
    </row>
    <row r="17" spans="1:13">
      <c r="A17" s="6"/>
      <c r="B17" s="4"/>
      <c r="C17" s="4"/>
      <c r="D17" s="4"/>
      <c r="E17">
        <f>IF(D17="","",IFERROR(VLOOKUP(D17,'Danh mục'!$A$4:$C$13,2,FALSE),"Không rõ mã"))</f>
        <v/>
      </c>
      <c r="F17" s="3"/>
      <c r="G17" s="7">
        <f>IF(D17="","",IFERROR(VLOOKUP(D17,'Danh mục'!$A$4:$C$13,3,FALSE),0))</f>
        <v/>
      </c>
      <c r="H17" s="7">
        <f>IF(F17="","",F17*G17)</f>
        <v/>
      </c>
      <c r="I17" s="8">
        <f>IF(F17="","",IF(F17&gt;=50,5%,IF(F17&gt;=20,2%,0)))</f>
        <v/>
      </c>
      <c r="J17" s="7">
        <f>IF(H17="","",ROUND(H17*I17,0))</f>
        <v/>
      </c>
      <c r="K17" s="7">
        <f>IF(H17="","",ROUND((H17-J17)*'Danh mục'!$F$3/100,0))</f>
        <v/>
      </c>
      <c r="L17" s="7">
        <f>IF(H17="","",H17-J17+K17)</f>
        <v/>
      </c>
      <c r="M17">
        <f>IF(A17="","",MONTH(A17))</f>
        <v/>
      </c>
    </row>
    <row r="18" spans="1:13">
      <c r="A18" s="6"/>
      <c r="B18" s="4"/>
      <c r="C18" s="4"/>
      <c r="D18" s="4"/>
      <c r="E18">
        <f>IF(D18="","",IFERROR(VLOOKUP(D18,'Danh mục'!$A$4:$C$13,2,FALSE),"Không rõ mã"))</f>
        <v/>
      </c>
      <c r="F18" s="3"/>
      <c r="G18" s="7">
        <f>IF(D18="","",IFERROR(VLOOKUP(D18,'Danh mục'!$A$4:$C$13,3,FALSE),0))</f>
        <v/>
      </c>
      <c r="H18" s="7">
        <f>IF(F18="","",F18*G18)</f>
        <v/>
      </c>
      <c r="I18" s="8">
        <f>IF(F18="","",IF(F18&gt;=50,5%,IF(F18&gt;=20,2%,0)))</f>
        <v/>
      </c>
      <c r="J18" s="7">
        <f>IF(H18="","",ROUND(H18*I18,0))</f>
        <v/>
      </c>
      <c r="K18" s="7">
        <f>IF(H18="","",ROUND((H18-J18)*'Danh mục'!$F$3/100,0))</f>
        <v/>
      </c>
      <c r="L18" s="7">
        <f>IF(H18="","",H18-J18+K18)</f>
        <v/>
      </c>
      <c r="M18">
        <f>IF(A18="","",MONTH(A18))</f>
        <v/>
      </c>
    </row>
    <row r="19" spans="1:13">
      <c r="A19" s="6"/>
      <c r="B19" s="4"/>
      <c r="C19" s="4"/>
      <c r="D19" s="4"/>
      <c r="E19">
        <f>IF(D19="","",IFERROR(VLOOKUP(D19,'Danh mục'!$A$4:$C$13,2,FALSE),"Không rõ mã"))</f>
        <v/>
      </c>
      <c r="F19" s="3"/>
      <c r="G19" s="7">
        <f>IF(D19="","",IFERROR(VLOOKUP(D19,'Danh mục'!$A$4:$C$13,3,FALSE),0))</f>
        <v/>
      </c>
      <c r="H19" s="7">
        <f>IF(F19="","",F19*G19)</f>
        <v/>
      </c>
      <c r="I19" s="8">
        <f>IF(F19="","",IF(F19&gt;=50,5%,IF(F19&gt;=20,2%,0)))</f>
        <v/>
      </c>
      <c r="J19" s="7">
        <f>IF(H19="","",ROUND(H19*I19,0))</f>
        <v/>
      </c>
      <c r="K19" s="7">
        <f>IF(H19="","",ROUND((H19-J19)*'Danh mục'!$F$3/100,0))</f>
        <v/>
      </c>
      <c r="L19" s="7">
        <f>IF(H19="","",H19-J19+K19)</f>
        <v/>
      </c>
      <c r="M19">
        <f>IF(A19="","",MONTH(A19))</f>
        <v/>
      </c>
    </row>
    <row r="20" spans="1:13">
      <c r="A20" s="6"/>
      <c r="B20" s="4"/>
      <c r="C20" s="4"/>
      <c r="D20" s="4"/>
      <c r="E20">
        <f>IF(D20="","",IFERROR(VLOOKUP(D20,'Danh mục'!$A$4:$C$13,2,FALSE),"Không rõ mã"))</f>
        <v/>
      </c>
      <c r="F20" s="3"/>
      <c r="G20" s="7">
        <f>IF(D20="","",IFERROR(VLOOKUP(D20,'Danh mục'!$A$4:$C$13,3,FALSE),0))</f>
        <v/>
      </c>
      <c r="H20" s="7">
        <f>IF(F20="","",F20*G20)</f>
        <v/>
      </c>
      <c r="I20" s="8">
        <f>IF(F20="","",IF(F20&gt;=50,5%,IF(F20&gt;=20,2%,0)))</f>
        <v/>
      </c>
      <c r="J20" s="7">
        <f>IF(H20="","",ROUND(H20*I20,0))</f>
        <v/>
      </c>
      <c r="K20" s="7">
        <f>IF(H20="","",ROUND((H20-J20)*'Danh mục'!$F$3/100,0))</f>
        <v/>
      </c>
      <c r="L20" s="7">
        <f>IF(H20="","",H20-J20+K20)</f>
        <v/>
      </c>
      <c r="M20">
        <f>IF(A20="","",MONTH(A20))</f>
        <v/>
      </c>
    </row>
    <row r="21" spans="1:13">
      <c r="A21" s="6"/>
      <c r="B21" s="4"/>
      <c r="C21" s="4"/>
      <c r="D21" s="4"/>
      <c r="E21">
        <f>IF(D21="","",IFERROR(VLOOKUP(D21,'Danh mục'!$A$4:$C$13,2,FALSE),"Không rõ mã"))</f>
        <v/>
      </c>
      <c r="F21" s="3"/>
      <c r="G21" s="7">
        <f>IF(D21="","",IFERROR(VLOOKUP(D21,'Danh mục'!$A$4:$C$13,3,FALSE),0))</f>
        <v/>
      </c>
      <c r="H21" s="7">
        <f>IF(F21="","",F21*G21)</f>
        <v/>
      </c>
      <c r="I21" s="8">
        <f>IF(F21="","",IF(F21&gt;=50,5%,IF(F21&gt;=20,2%,0)))</f>
        <v/>
      </c>
      <c r="J21" s="7">
        <f>IF(H21="","",ROUND(H21*I21,0))</f>
        <v/>
      </c>
      <c r="K21" s="7">
        <f>IF(H21="","",ROUND((H21-J21)*'Danh mục'!$F$3/100,0))</f>
        <v/>
      </c>
      <c r="L21" s="7">
        <f>IF(H21="","",H21-J21+K21)</f>
        <v/>
      </c>
      <c r="M21">
        <f>IF(A21="","",MONTH(A21))</f>
        <v/>
      </c>
    </row>
    <row r="22" spans="1:13">
      <c r="A22" s="6"/>
      <c r="B22" s="4"/>
      <c r="C22" s="4"/>
      <c r="D22" s="4"/>
      <c r="E22">
        <f>IF(D22="","",IFERROR(VLOOKUP(D22,'Danh mục'!$A$4:$C$13,2,FALSE),"Không rõ mã"))</f>
        <v/>
      </c>
      <c r="F22" s="3"/>
      <c r="G22" s="7">
        <f>IF(D22="","",IFERROR(VLOOKUP(D22,'Danh mục'!$A$4:$C$13,3,FALSE),0))</f>
        <v/>
      </c>
      <c r="H22" s="7">
        <f>IF(F22="","",F22*G22)</f>
        <v/>
      </c>
      <c r="I22" s="8">
        <f>IF(F22="","",IF(F22&gt;=50,5%,IF(F22&gt;=20,2%,0)))</f>
        <v/>
      </c>
      <c r="J22" s="7">
        <f>IF(H22="","",ROUND(H22*I22,0))</f>
        <v/>
      </c>
      <c r="K22" s="7">
        <f>IF(H22="","",ROUND((H22-J22)*'Danh mục'!$F$3/100,0))</f>
        <v/>
      </c>
      <c r="L22" s="7">
        <f>IF(H22="","",H22-J22+K22)</f>
        <v/>
      </c>
      <c r="M22">
        <f>IF(A22="","",MONTH(A22))</f>
        <v/>
      </c>
    </row>
    <row r="23" spans="1:13">
      <c r="A23" s="6"/>
      <c r="B23" s="4"/>
      <c r="C23" s="4"/>
      <c r="D23" s="4"/>
      <c r="E23">
        <f>IF(D23="","",IFERROR(VLOOKUP(D23,'Danh mục'!$A$4:$C$13,2,FALSE),"Không rõ mã"))</f>
        <v/>
      </c>
      <c r="F23" s="3"/>
      <c r="G23" s="7">
        <f>IF(D23="","",IFERROR(VLOOKUP(D23,'Danh mục'!$A$4:$C$13,3,FALSE),0))</f>
        <v/>
      </c>
      <c r="H23" s="7">
        <f>IF(F23="","",F23*G23)</f>
        <v/>
      </c>
      <c r="I23" s="8">
        <f>IF(F23="","",IF(F23&gt;=50,5%,IF(F23&gt;=20,2%,0)))</f>
        <v/>
      </c>
      <c r="J23" s="7">
        <f>IF(H23="","",ROUND(H23*I23,0))</f>
        <v/>
      </c>
      <c r="K23" s="7">
        <f>IF(H23="","",ROUND((H23-J23)*'Danh mục'!$F$3/100,0))</f>
        <v/>
      </c>
      <c r="L23" s="7">
        <f>IF(H23="","",H23-J23+K23)</f>
        <v/>
      </c>
      <c r="M23">
        <f>IF(A23="","",MONTH(A23))</f>
        <v/>
      </c>
    </row>
    <row r="24" spans="1:13">
      <c r="A24" s="6"/>
      <c r="B24" s="4"/>
      <c r="C24" s="4"/>
      <c r="D24" s="4"/>
      <c r="E24">
        <f>IF(D24="","",IFERROR(VLOOKUP(D24,'Danh mục'!$A$4:$C$13,2,FALSE),"Không rõ mã"))</f>
        <v/>
      </c>
      <c r="F24" s="3"/>
      <c r="G24" s="7">
        <f>IF(D24="","",IFERROR(VLOOKUP(D24,'Danh mục'!$A$4:$C$13,3,FALSE),0))</f>
        <v/>
      </c>
      <c r="H24" s="7">
        <f>IF(F24="","",F24*G24)</f>
        <v/>
      </c>
      <c r="I24" s="8">
        <f>IF(F24="","",IF(F24&gt;=50,5%,IF(F24&gt;=20,2%,0)))</f>
        <v/>
      </c>
      <c r="J24" s="7">
        <f>IF(H24="","",ROUND(H24*I24,0))</f>
        <v/>
      </c>
      <c r="K24" s="7">
        <f>IF(H24="","",ROUND((H24-J24)*'Danh mục'!$F$3/100,0))</f>
        <v/>
      </c>
      <c r="L24" s="7">
        <f>IF(H24="","",H24-J24+K24)</f>
        <v/>
      </c>
      <c r="M24">
        <f>IF(A24="","",MONTH(A24))</f>
        <v/>
      </c>
    </row>
    <row r="25" spans="1:13">
      <c r="A25" s="6"/>
      <c r="B25" s="4"/>
      <c r="C25" s="4"/>
      <c r="D25" s="4"/>
      <c r="E25">
        <f>IF(D25="","",IFERROR(VLOOKUP(D25,'Danh mục'!$A$4:$C$13,2,FALSE),"Không rõ mã"))</f>
        <v/>
      </c>
      <c r="F25" s="3"/>
      <c r="G25" s="7">
        <f>IF(D25="","",IFERROR(VLOOKUP(D25,'Danh mục'!$A$4:$C$13,3,FALSE),0))</f>
        <v/>
      </c>
      <c r="H25" s="7">
        <f>IF(F25="","",F25*G25)</f>
        <v/>
      </c>
      <c r="I25" s="8">
        <f>IF(F25="","",IF(F25&gt;=50,5%,IF(F25&gt;=20,2%,0)))</f>
        <v/>
      </c>
      <c r="J25" s="7">
        <f>IF(H25="","",ROUND(H25*I25,0))</f>
        <v/>
      </c>
      <c r="K25" s="7">
        <f>IF(H25="","",ROUND((H25-J25)*'Danh mục'!$F$3/100,0))</f>
        <v/>
      </c>
      <c r="L25" s="7">
        <f>IF(H25="","",H25-J25+K25)</f>
        <v/>
      </c>
      <c r="M25">
        <f>IF(A25="","",MONTH(A25))</f>
        <v/>
      </c>
    </row>
    <row r="26" spans="1:13">
      <c r="A26" s="6"/>
      <c r="B26" s="4"/>
      <c r="C26" s="4"/>
      <c r="D26" s="4"/>
      <c r="E26">
        <f>IF(D26="","",IFERROR(VLOOKUP(D26,'Danh mục'!$A$4:$C$13,2,FALSE),"Không rõ mã"))</f>
        <v/>
      </c>
      <c r="F26" s="3"/>
      <c r="G26" s="7">
        <f>IF(D26="","",IFERROR(VLOOKUP(D26,'Danh mục'!$A$4:$C$13,3,FALSE),0))</f>
        <v/>
      </c>
      <c r="H26" s="7">
        <f>IF(F26="","",F26*G26)</f>
        <v/>
      </c>
      <c r="I26" s="8">
        <f>IF(F26="","",IF(F26&gt;=50,5%,IF(F26&gt;=20,2%,0)))</f>
        <v/>
      </c>
      <c r="J26" s="7">
        <f>IF(H26="","",ROUND(H26*I26,0))</f>
        <v/>
      </c>
      <c r="K26" s="7">
        <f>IF(H26="","",ROUND((H26-J26)*'Danh mục'!$F$3/100,0))</f>
        <v/>
      </c>
      <c r="L26" s="7">
        <f>IF(H26="","",H26-J26+K26)</f>
        <v/>
      </c>
      <c r="M26">
        <f>IF(A26="","",MONTH(A26))</f>
        <v/>
      </c>
    </row>
    <row r="27" spans="1:13">
      <c r="A27" s="6"/>
      <c r="B27" s="4"/>
      <c r="C27" s="4"/>
      <c r="D27" s="4"/>
      <c r="E27">
        <f>IF(D27="","",IFERROR(VLOOKUP(D27,'Danh mục'!$A$4:$C$13,2,FALSE),"Không rõ mã"))</f>
        <v/>
      </c>
      <c r="F27" s="3"/>
      <c r="G27" s="7">
        <f>IF(D27="","",IFERROR(VLOOKUP(D27,'Danh mục'!$A$4:$C$13,3,FALSE),0))</f>
        <v/>
      </c>
      <c r="H27" s="7">
        <f>IF(F27="","",F27*G27)</f>
        <v/>
      </c>
      <c r="I27" s="8">
        <f>IF(F27="","",IF(F27&gt;=50,5%,IF(F27&gt;=20,2%,0)))</f>
        <v/>
      </c>
      <c r="J27" s="7">
        <f>IF(H27="","",ROUND(H27*I27,0))</f>
        <v/>
      </c>
      <c r="K27" s="7">
        <f>IF(H27="","",ROUND((H27-J27)*'Danh mục'!$F$3/100,0))</f>
        <v/>
      </c>
      <c r="L27" s="7">
        <f>IF(H27="","",H27-J27+K27)</f>
        <v/>
      </c>
      <c r="M27">
        <f>IF(A27="","",MONTH(A27))</f>
        <v/>
      </c>
    </row>
    <row r="28" spans="1:13">
      <c r="A28" s="6"/>
      <c r="B28" s="4"/>
      <c r="C28" s="4"/>
      <c r="D28" s="4"/>
      <c r="E28">
        <f>IF(D28="","",IFERROR(VLOOKUP(D28,'Danh mục'!$A$4:$C$13,2,FALSE),"Không rõ mã"))</f>
        <v/>
      </c>
      <c r="F28" s="3"/>
      <c r="G28" s="7">
        <f>IF(D28="","",IFERROR(VLOOKUP(D28,'Danh mục'!$A$4:$C$13,3,FALSE),0))</f>
        <v/>
      </c>
      <c r="H28" s="7">
        <f>IF(F28="","",F28*G28)</f>
        <v/>
      </c>
      <c r="I28" s="8">
        <f>IF(F28="","",IF(F28&gt;=50,5%,IF(F28&gt;=20,2%,0)))</f>
        <v/>
      </c>
      <c r="J28" s="7">
        <f>IF(H28="","",ROUND(H28*I28,0))</f>
        <v/>
      </c>
      <c r="K28" s="7">
        <f>IF(H28="","",ROUND((H28-J28)*'Danh mục'!$F$3/100,0))</f>
        <v/>
      </c>
      <c r="L28" s="7">
        <f>IF(H28="","",H28-J28+K28)</f>
        <v/>
      </c>
      <c r="M28">
        <f>IF(A28="","",MONTH(A28))</f>
        <v/>
      </c>
    </row>
    <row r="29" spans="1:13">
      <c r="A29" s="6"/>
      <c r="B29" s="4"/>
      <c r="C29" s="4"/>
      <c r="D29" s="4"/>
      <c r="E29">
        <f>IF(D29="","",IFERROR(VLOOKUP(D29,'Danh mục'!$A$4:$C$13,2,FALSE),"Không rõ mã"))</f>
        <v/>
      </c>
      <c r="F29" s="3"/>
      <c r="G29" s="7">
        <f>IF(D29="","",IFERROR(VLOOKUP(D29,'Danh mục'!$A$4:$C$13,3,FALSE),0))</f>
        <v/>
      </c>
      <c r="H29" s="7">
        <f>IF(F29="","",F29*G29)</f>
        <v/>
      </c>
      <c r="I29" s="8">
        <f>IF(F29="","",IF(F29&gt;=50,5%,IF(F29&gt;=20,2%,0)))</f>
        <v/>
      </c>
      <c r="J29" s="7">
        <f>IF(H29="","",ROUND(H29*I29,0))</f>
        <v/>
      </c>
      <c r="K29" s="7">
        <f>IF(H29="","",ROUND((H29-J29)*'Danh mục'!$F$3/100,0))</f>
        <v/>
      </c>
      <c r="L29" s="7">
        <f>IF(H29="","",H29-J29+K29)</f>
        <v/>
      </c>
      <c r="M29">
        <f>IF(A29="","",MONTH(A29))</f>
        <v/>
      </c>
    </row>
    <row r="30" spans="1:13">
      <c r="A30" s="6"/>
      <c r="B30" s="4"/>
      <c r="C30" s="4"/>
      <c r="D30" s="4"/>
      <c r="E30">
        <f>IF(D30="","",IFERROR(VLOOKUP(D30,'Danh mục'!$A$4:$C$13,2,FALSE),"Không rõ mã"))</f>
        <v/>
      </c>
      <c r="F30" s="3"/>
      <c r="G30" s="7">
        <f>IF(D30="","",IFERROR(VLOOKUP(D30,'Danh mục'!$A$4:$C$13,3,FALSE),0))</f>
        <v/>
      </c>
      <c r="H30" s="7">
        <f>IF(F30="","",F30*G30)</f>
        <v/>
      </c>
      <c r="I30" s="8">
        <f>IF(F30="","",IF(F30&gt;=50,5%,IF(F30&gt;=20,2%,0)))</f>
        <v/>
      </c>
      <c r="J30" s="7">
        <f>IF(H30="","",ROUND(H30*I30,0))</f>
        <v/>
      </c>
      <c r="K30" s="7">
        <f>IF(H30="","",ROUND((H30-J30)*'Danh mục'!$F$3/100,0))</f>
        <v/>
      </c>
      <c r="L30" s="7">
        <f>IF(H30="","",H30-J30+K30)</f>
        <v/>
      </c>
      <c r="M30">
        <f>IF(A30="","",MONTH(A30))</f>
        <v/>
      </c>
    </row>
    <row r="31" spans="1:13">
      <c r="A31" s="6"/>
      <c r="B31" s="4"/>
      <c r="C31" s="4"/>
      <c r="D31" s="4"/>
      <c r="E31">
        <f>IF(D31="","",IFERROR(VLOOKUP(D31,'Danh mục'!$A$4:$C$13,2,FALSE),"Không rõ mã"))</f>
        <v/>
      </c>
      <c r="F31" s="3"/>
      <c r="G31" s="7">
        <f>IF(D31="","",IFERROR(VLOOKUP(D31,'Danh mục'!$A$4:$C$13,3,FALSE),0))</f>
        <v/>
      </c>
      <c r="H31" s="7">
        <f>IF(F31="","",F31*G31)</f>
        <v/>
      </c>
      <c r="I31" s="8">
        <f>IF(F31="","",IF(F31&gt;=50,5%,IF(F31&gt;=20,2%,0)))</f>
        <v/>
      </c>
      <c r="J31" s="7">
        <f>IF(H31="","",ROUND(H31*I31,0))</f>
        <v/>
      </c>
      <c r="K31" s="7">
        <f>IF(H31="","",ROUND((H31-J31)*'Danh mục'!$F$3/100,0))</f>
        <v/>
      </c>
      <c r="L31" s="7">
        <f>IF(H31="","",H31-J31+K31)</f>
        <v/>
      </c>
      <c r="M31">
        <f>IF(A31="","",MONTH(A31))</f>
        <v/>
      </c>
    </row>
    <row r="32" spans="1:13">
      <c r="A32" s="6"/>
      <c r="B32" s="4"/>
      <c r="C32" s="4"/>
      <c r="D32" s="4"/>
      <c r="E32">
        <f>IF(D32="","",IFERROR(VLOOKUP(D32,'Danh mục'!$A$4:$C$13,2,FALSE),"Không rõ mã"))</f>
        <v/>
      </c>
      <c r="F32" s="3"/>
      <c r="G32" s="7">
        <f>IF(D32="","",IFERROR(VLOOKUP(D32,'Danh mục'!$A$4:$C$13,3,FALSE),0))</f>
        <v/>
      </c>
      <c r="H32" s="7">
        <f>IF(F32="","",F32*G32)</f>
        <v/>
      </c>
      <c r="I32" s="8">
        <f>IF(F32="","",IF(F32&gt;=50,5%,IF(F32&gt;=20,2%,0)))</f>
        <v/>
      </c>
      <c r="J32" s="7">
        <f>IF(H32="","",ROUND(H32*I32,0))</f>
        <v/>
      </c>
      <c r="K32" s="7">
        <f>IF(H32="","",ROUND((H32-J32)*'Danh mục'!$F$3/100,0))</f>
        <v/>
      </c>
      <c r="L32" s="7">
        <f>IF(H32="","",H32-J32+K32)</f>
        <v/>
      </c>
      <c r="M32">
        <f>IF(A32="","",MONTH(A32))</f>
        <v/>
      </c>
    </row>
    <row r="33" spans="1:13">
      <c r="A33" s="6"/>
      <c r="B33" s="4"/>
      <c r="C33" s="4"/>
      <c r="D33" s="4"/>
      <c r="E33">
        <f>IF(D33="","",IFERROR(VLOOKUP(D33,'Danh mục'!$A$4:$C$13,2,FALSE),"Không rõ mã"))</f>
        <v/>
      </c>
      <c r="F33" s="3"/>
      <c r="G33" s="7">
        <f>IF(D33="","",IFERROR(VLOOKUP(D33,'Danh mục'!$A$4:$C$13,3,FALSE),0))</f>
        <v/>
      </c>
      <c r="H33" s="7">
        <f>IF(F33="","",F33*G33)</f>
        <v/>
      </c>
      <c r="I33" s="8">
        <f>IF(F33="","",IF(F33&gt;=50,5%,IF(F33&gt;=20,2%,0)))</f>
        <v/>
      </c>
      <c r="J33" s="7">
        <f>IF(H33="","",ROUND(H33*I33,0))</f>
        <v/>
      </c>
      <c r="K33" s="7">
        <f>IF(H33="","",ROUND((H33-J33)*'Danh mục'!$F$3/100,0))</f>
        <v/>
      </c>
      <c r="L33" s="7">
        <f>IF(H33="","",H33-J33+K33)</f>
        <v/>
      </c>
      <c r="M33">
        <f>IF(A33="","",MONTH(A33))</f>
        <v/>
      </c>
    </row>
    <row r="34" spans="1:13">
      <c r="A34" s="6"/>
      <c r="B34" s="4"/>
      <c r="C34" s="4"/>
      <c r="D34" s="4"/>
      <c r="E34">
        <f>IF(D34="","",IFERROR(VLOOKUP(D34,'Danh mục'!$A$4:$C$13,2,FALSE),"Không rõ mã"))</f>
        <v/>
      </c>
      <c r="F34" s="3"/>
      <c r="G34" s="7">
        <f>IF(D34="","",IFERROR(VLOOKUP(D34,'Danh mục'!$A$4:$C$13,3,FALSE),0))</f>
        <v/>
      </c>
      <c r="H34" s="7">
        <f>IF(F34="","",F34*G34)</f>
        <v/>
      </c>
      <c r="I34" s="8">
        <f>IF(F34="","",IF(F34&gt;=50,5%,IF(F34&gt;=20,2%,0)))</f>
        <v/>
      </c>
      <c r="J34" s="7">
        <f>IF(H34="","",ROUND(H34*I34,0))</f>
        <v/>
      </c>
      <c r="K34" s="7">
        <f>IF(H34="","",ROUND((H34-J34)*'Danh mục'!$F$3/100,0))</f>
        <v/>
      </c>
      <c r="L34" s="7">
        <f>IF(H34="","",H34-J34+K34)</f>
        <v/>
      </c>
      <c r="M34">
        <f>IF(A34="","",MONTH(A34))</f>
        <v/>
      </c>
    </row>
    <row r="35" spans="1:13">
      <c r="A35" s="6"/>
      <c r="B35" s="4"/>
      <c r="C35" s="4"/>
      <c r="D35" s="4"/>
      <c r="E35">
        <f>IF(D35="","",IFERROR(VLOOKUP(D35,'Danh mục'!$A$4:$C$13,2,FALSE),"Không rõ mã"))</f>
        <v/>
      </c>
      <c r="F35" s="3"/>
      <c r="G35" s="7">
        <f>IF(D35="","",IFERROR(VLOOKUP(D35,'Danh mục'!$A$4:$C$13,3,FALSE),0))</f>
        <v/>
      </c>
      <c r="H35" s="7">
        <f>IF(F35="","",F35*G35)</f>
        <v/>
      </c>
      <c r="I35" s="8">
        <f>IF(F35="","",IF(F35&gt;=50,5%,IF(F35&gt;=20,2%,0)))</f>
        <v/>
      </c>
      <c r="J35" s="7">
        <f>IF(H35="","",ROUND(H35*I35,0))</f>
        <v/>
      </c>
      <c r="K35" s="7">
        <f>IF(H35="","",ROUND((H35-J35)*'Danh mục'!$F$3/100,0))</f>
        <v/>
      </c>
      <c r="L35" s="7">
        <f>IF(H35="","",H35-J35+K35)</f>
        <v/>
      </c>
      <c r="M35">
        <f>IF(A35="","",MONTH(A35))</f>
        <v/>
      </c>
    </row>
    <row r="36" spans="1:13">
      <c r="A36" s="6"/>
      <c r="B36" s="4"/>
      <c r="C36" s="4"/>
      <c r="D36" s="4"/>
      <c r="E36">
        <f>IF(D36="","",IFERROR(VLOOKUP(D36,'Danh mục'!$A$4:$C$13,2,FALSE),"Không rõ mã"))</f>
        <v/>
      </c>
      <c r="F36" s="3"/>
      <c r="G36" s="7">
        <f>IF(D36="","",IFERROR(VLOOKUP(D36,'Danh mục'!$A$4:$C$13,3,FALSE),0))</f>
        <v/>
      </c>
      <c r="H36" s="7">
        <f>IF(F36="","",F36*G36)</f>
        <v/>
      </c>
      <c r="I36" s="8">
        <f>IF(F36="","",IF(F36&gt;=50,5%,IF(F36&gt;=20,2%,0)))</f>
        <v/>
      </c>
      <c r="J36" s="7">
        <f>IF(H36="","",ROUND(H36*I36,0))</f>
        <v/>
      </c>
      <c r="K36" s="7">
        <f>IF(H36="","",ROUND((H36-J36)*'Danh mục'!$F$3/100,0))</f>
        <v/>
      </c>
      <c r="L36" s="7">
        <f>IF(H36="","",H36-J36+K36)</f>
        <v/>
      </c>
      <c r="M36">
        <f>IF(A36="","",MONTH(A36))</f>
        <v/>
      </c>
    </row>
    <row r="37" spans="1:13">
      <c r="A37" s="6"/>
      <c r="B37" s="4"/>
      <c r="C37" s="4"/>
      <c r="D37" s="4"/>
      <c r="E37">
        <f>IF(D37="","",IFERROR(VLOOKUP(D37,'Danh mục'!$A$4:$C$13,2,FALSE),"Không rõ mã"))</f>
        <v/>
      </c>
      <c r="F37" s="3"/>
      <c r="G37" s="7">
        <f>IF(D37="","",IFERROR(VLOOKUP(D37,'Danh mục'!$A$4:$C$13,3,FALSE),0))</f>
        <v/>
      </c>
      <c r="H37" s="7">
        <f>IF(F37="","",F37*G37)</f>
        <v/>
      </c>
      <c r="I37" s="8">
        <f>IF(F37="","",IF(F37&gt;=50,5%,IF(F37&gt;=20,2%,0)))</f>
        <v/>
      </c>
      <c r="J37" s="7">
        <f>IF(H37="","",ROUND(H37*I37,0))</f>
        <v/>
      </c>
      <c r="K37" s="7">
        <f>IF(H37="","",ROUND((H37-J37)*'Danh mục'!$F$3/100,0))</f>
        <v/>
      </c>
      <c r="L37" s="7">
        <f>IF(H37="","",H37-J37+K37)</f>
        <v/>
      </c>
      <c r="M37">
        <f>IF(A37="","",MONTH(A37))</f>
        <v/>
      </c>
    </row>
    <row r="38" spans="1:13">
      <c r="A38" s="6"/>
      <c r="B38" s="4"/>
      <c r="C38" s="4"/>
      <c r="D38" s="4"/>
      <c r="E38">
        <f>IF(D38="","",IFERROR(VLOOKUP(D38,'Danh mục'!$A$4:$C$13,2,FALSE),"Không rõ mã"))</f>
        <v/>
      </c>
      <c r="F38" s="3"/>
      <c r="G38" s="7">
        <f>IF(D38="","",IFERROR(VLOOKUP(D38,'Danh mục'!$A$4:$C$13,3,FALSE),0))</f>
        <v/>
      </c>
      <c r="H38" s="7">
        <f>IF(F38="","",F38*G38)</f>
        <v/>
      </c>
      <c r="I38" s="8">
        <f>IF(F38="","",IF(F38&gt;=50,5%,IF(F38&gt;=20,2%,0)))</f>
        <v/>
      </c>
      <c r="J38" s="7">
        <f>IF(H38="","",ROUND(H38*I38,0))</f>
        <v/>
      </c>
      <c r="K38" s="7">
        <f>IF(H38="","",ROUND((H38-J38)*'Danh mục'!$F$3/100,0))</f>
        <v/>
      </c>
      <c r="L38" s="7">
        <f>IF(H38="","",H38-J38+K38)</f>
        <v/>
      </c>
      <c r="M38">
        <f>IF(A38="","",MONTH(A38))</f>
        <v/>
      </c>
    </row>
    <row r="39" spans="1:13">
      <c r="A39" s="6"/>
      <c r="B39" s="4"/>
      <c r="C39" s="4"/>
      <c r="D39" s="4"/>
      <c r="E39">
        <f>IF(D39="","",IFERROR(VLOOKUP(D39,'Danh mục'!$A$4:$C$13,2,FALSE),"Không rõ mã"))</f>
        <v/>
      </c>
      <c r="F39" s="3"/>
      <c r="G39" s="7">
        <f>IF(D39="","",IFERROR(VLOOKUP(D39,'Danh mục'!$A$4:$C$13,3,FALSE),0))</f>
        <v/>
      </c>
      <c r="H39" s="7">
        <f>IF(F39="","",F39*G39)</f>
        <v/>
      </c>
      <c r="I39" s="8">
        <f>IF(F39="","",IF(F39&gt;=50,5%,IF(F39&gt;=20,2%,0)))</f>
        <v/>
      </c>
      <c r="J39" s="7">
        <f>IF(H39="","",ROUND(H39*I39,0))</f>
        <v/>
      </c>
      <c r="K39" s="7">
        <f>IF(H39="","",ROUND((H39-J39)*'Danh mục'!$F$3/100,0))</f>
        <v/>
      </c>
      <c r="L39" s="7">
        <f>IF(H39="","",H39-J39+K39)</f>
        <v/>
      </c>
      <c r="M39">
        <f>IF(A39="","",MONTH(A39))</f>
        <v/>
      </c>
    </row>
    <row r="40" spans="1:13">
      <c r="A40" s="6"/>
      <c r="B40" s="4"/>
      <c r="C40" s="4"/>
      <c r="D40" s="4"/>
      <c r="E40">
        <f>IF(D40="","",IFERROR(VLOOKUP(D40,'Danh mục'!$A$4:$C$13,2,FALSE),"Không rõ mã"))</f>
        <v/>
      </c>
      <c r="F40" s="3"/>
      <c r="G40" s="7">
        <f>IF(D40="","",IFERROR(VLOOKUP(D40,'Danh mục'!$A$4:$C$13,3,FALSE),0))</f>
        <v/>
      </c>
      <c r="H40" s="7">
        <f>IF(F40="","",F40*G40)</f>
        <v/>
      </c>
      <c r="I40" s="8">
        <f>IF(F40="","",IF(F40&gt;=50,5%,IF(F40&gt;=20,2%,0)))</f>
        <v/>
      </c>
      <c r="J40" s="7">
        <f>IF(H40="","",ROUND(H40*I40,0))</f>
        <v/>
      </c>
      <c r="K40" s="7">
        <f>IF(H40="","",ROUND((H40-J40)*'Danh mục'!$F$3/100,0))</f>
        <v/>
      </c>
      <c r="L40" s="7">
        <f>IF(H40="","",H40-J40+K40)</f>
        <v/>
      </c>
      <c r="M40">
        <f>IF(A40="","",MONTH(A40))</f>
        <v/>
      </c>
    </row>
    <row r="41" spans="1:13">
      <c r="A41" s="6"/>
      <c r="B41" s="4"/>
      <c r="C41" s="4"/>
      <c r="D41" s="4"/>
      <c r="E41">
        <f>IF(D41="","",IFERROR(VLOOKUP(D41,'Danh mục'!$A$4:$C$13,2,FALSE),"Không rõ mã"))</f>
        <v/>
      </c>
      <c r="F41" s="3"/>
      <c r="G41" s="7">
        <f>IF(D41="","",IFERROR(VLOOKUP(D41,'Danh mục'!$A$4:$C$13,3,FALSE),0))</f>
        <v/>
      </c>
      <c r="H41" s="7">
        <f>IF(F41="","",F41*G41)</f>
        <v/>
      </c>
      <c r="I41" s="8">
        <f>IF(F41="","",IF(F41&gt;=50,5%,IF(F41&gt;=20,2%,0)))</f>
        <v/>
      </c>
      <c r="J41" s="7">
        <f>IF(H41="","",ROUND(H41*I41,0))</f>
        <v/>
      </c>
      <c r="K41" s="7">
        <f>IF(H41="","",ROUND((H41-J41)*'Danh mục'!$F$3/100,0))</f>
        <v/>
      </c>
      <c r="L41" s="7">
        <f>IF(H41="","",H41-J41+K41)</f>
        <v/>
      </c>
      <c r="M41">
        <f>IF(A41="","",MONTH(A41))</f>
        <v/>
      </c>
    </row>
    <row r="42" spans="1:13">
      <c r="A42" s="6"/>
      <c r="B42" s="4"/>
      <c r="C42" s="4"/>
      <c r="D42" s="4"/>
      <c r="E42">
        <f>IF(D42="","",IFERROR(VLOOKUP(D42,'Danh mục'!$A$4:$C$13,2,FALSE),"Không rõ mã"))</f>
        <v/>
      </c>
      <c r="F42" s="3"/>
      <c r="G42" s="7">
        <f>IF(D42="","",IFERROR(VLOOKUP(D42,'Danh mục'!$A$4:$C$13,3,FALSE),0))</f>
        <v/>
      </c>
      <c r="H42" s="7">
        <f>IF(F42="","",F42*G42)</f>
        <v/>
      </c>
      <c r="I42" s="8">
        <f>IF(F42="","",IF(F42&gt;=50,5%,IF(F42&gt;=20,2%,0)))</f>
        <v/>
      </c>
      <c r="J42" s="7">
        <f>IF(H42="","",ROUND(H42*I42,0))</f>
        <v/>
      </c>
      <c r="K42" s="7">
        <f>IF(H42="","",ROUND((H42-J42)*'Danh mục'!$F$3/100,0))</f>
        <v/>
      </c>
      <c r="L42" s="7">
        <f>IF(H42="","",H42-J42+K42)</f>
        <v/>
      </c>
      <c r="M42">
        <f>IF(A42="","",MONTH(A42))</f>
        <v/>
      </c>
    </row>
    <row r="43" spans="1:13">
      <c r="A43" s="6"/>
      <c r="B43" s="4"/>
      <c r="C43" s="4"/>
      <c r="D43" s="4"/>
      <c r="E43">
        <f>IF(D43="","",IFERROR(VLOOKUP(D43,'Danh mục'!$A$4:$C$13,2,FALSE),"Không rõ mã"))</f>
        <v/>
      </c>
      <c r="F43" s="3"/>
      <c r="G43" s="7">
        <f>IF(D43="","",IFERROR(VLOOKUP(D43,'Danh mục'!$A$4:$C$13,3,FALSE),0))</f>
        <v/>
      </c>
      <c r="H43" s="7">
        <f>IF(F43="","",F43*G43)</f>
        <v/>
      </c>
      <c r="I43" s="8">
        <f>IF(F43="","",IF(F43&gt;=50,5%,IF(F43&gt;=20,2%,0)))</f>
        <v/>
      </c>
      <c r="J43" s="7">
        <f>IF(H43="","",ROUND(H43*I43,0))</f>
        <v/>
      </c>
      <c r="K43" s="7">
        <f>IF(H43="","",ROUND((H43-J43)*'Danh mục'!$F$3/100,0))</f>
        <v/>
      </c>
      <c r="L43" s="7">
        <f>IF(H43="","",H43-J43+K43)</f>
        <v/>
      </c>
      <c r="M43">
        <f>IF(A43="","",MONTH(A43))</f>
        <v/>
      </c>
    </row>
    <row r="44" spans="1:13">
      <c r="A44" s="6"/>
      <c r="B44" s="4"/>
      <c r="C44" s="4"/>
      <c r="D44" s="4"/>
      <c r="E44">
        <f>IF(D44="","",IFERROR(VLOOKUP(D44,'Danh mục'!$A$4:$C$13,2,FALSE),"Không rõ mã"))</f>
        <v/>
      </c>
      <c r="F44" s="3"/>
      <c r="G44" s="7">
        <f>IF(D44="","",IFERROR(VLOOKUP(D44,'Danh mục'!$A$4:$C$13,3,FALSE),0))</f>
        <v/>
      </c>
      <c r="H44" s="7">
        <f>IF(F44="","",F44*G44)</f>
        <v/>
      </c>
      <c r="I44" s="8">
        <f>IF(F44="","",IF(F44&gt;=50,5%,IF(F44&gt;=20,2%,0)))</f>
        <v/>
      </c>
      <c r="J44" s="7">
        <f>IF(H44="","",ROUND(H44*I44,0))</f>
        <v/>
      </c>
      <c r="K44" s="7">
        <f>IF(H44="","",ROUND((H44-J44)*'Danh mục'!$F$3/100,0))</f>
        <v/>
      </c>
      <c r="L44" s="7">
        <f>IF(H44="","",H44-J44+K44)</f>
        <v/>
      </c>
      <c r="M44">
        <f>IF(A44="","",MONTH(A44))</f>
        <v/>
      </c>
    </row>
    <row r="45" spans="1:13">
      <c r="A45" s="6"/>
      <c r="B45" s="4"/>
      <c r="C45" s="4"/>
      <c r="D45" s="4"/>
      <c r="E45">
        <f>IF(D45="","",IFERROR(VLOOKUP(D45,'Danh mục'!$A$4:$C$13,2,FALSE),"Không rõ mã"))</f>
        <v/>
      </c>
      <c r="F45" s="3"/>
      <c r="G45" s="7">
        <f>IF(D45="","",IFERROR(VLOOKUP(D45,'Danh mục'!$A$4:$C$13,3,FALSE),0))</f>
        <v/>
      </c>
      <c r="H45" s="7">
        <f>IF(F45="","",F45*G45)</f>
        <v/>
      </c>
      <c r="I45" s="8">
        <f>IF(F45="","",IF(F45&gt;=50,5%,IF(F45&gt;=20,2%,0)))</f>
        <v/>
      </c>
      <c r="J45" s="7">
        <f>IF(H45="","",ROUND(H45*I45,0))</f>
        <v/>
      </c>
      <c r="K45" s="7">
        <f>IF(H45="","",ROUND((H45-J45)*'Danh mục'!$F$3/100,0))</f>
        <v/>
      </c>
      <c r="L45" s="7">
        <f>IF(H45="","",H45-J45+K45)</f>
        <v/>
      </c>
      <c r="M45">
        <f>IF(A45="","",MONTH(A45))</f>
        <v/>
      </c>
    </row>
    <row r="46" spans="1:13">
      <c r="A46" s="6"/>
      <c r="B46" s="4"/>
      <c r="C46" s="4"/>
      <c r="D46" s="4"/>
      <c r="E46">
        <f>IF(D46="","",IFERROR(VLOOKUP(D46,'Danh mục'!$A$4:$C$13,2,FALSE),"Không rõ mã"))</f>
        <v/>
      </c>
      <c r="F46" s="3"/>
      <c r="G46" s="7">
        <f>IF(D46="","",IFERROR(VLOOKUP(D46,'Danh mục'!$A$4:$C$13,3,FALSE),0))</f>
        <v/>
      </c>
      <c r="H46" s="7">
        <f>IF(F46="","",F46*G46)</f>
        <v/>
      </c>
      <c r="I46" s="8">
        <f>IF(F46="","",IF(F46&gt;=50,5%,IF(F46&gt;=20,2%,0)))</f>
        <v/>
      </c>
      <c r="J46" s="7">
        <f>IF(H46="","",ROUND(H46*I46,0))</f>
        <v/>
      </c>
      <c r="K46" s="7">
        <f>IF(H46="","",ROUND((H46-J46)*'Danh mục'!$F$3/100,0))</f>
        <v/>
      </c>
      <c r="L46" s="7">
        <f>IF(H46="","",H46-J46+K46)</f>
        <v/>
      </c>
      <c r="M46">
        <f>IF(A46="","",MONTH(A46))</f>
        <v/>
      </c>
    </row>
    <row r="47" spans="1:13">
      <c r="A47" s="6"/>
      <c r="B47" s="4"/>
      <c r="C47" s="4"/>
      <c r="D47" s="4"/>
      <c r="E47">
        <f>IF(D47="","",IFERROR(VLOOKUP(D47,'Danh mục'!$A$4:$C$13,2,FALSE),"Không rõ mã"))</f>
        <v/>
      </c>
      <c r="F47" s="3"/>
      <c r="G47" s="7">
        <f>IF(D47="","",IFERROR(VLOOKUP(D47,'Danh mục'!$A$4:$C$13,3,FALSE),0))</f>
        <v/>
      </c>
      <c r="H47" s="7">
        <f>IF(F47="","",F47*G47)</f>
        <v/>
      </c>
      <c r="I47" s="8">
        <f>IF(F47="","",IF(F47&gt;=50,5%,IF(F47&gt;=20,2%,0)))</f>
        <v/>
      </c>
      <c r="J47" s="7">
        <f>IF(H47="","",ROUND(H47*I47,0))</f>
        <v/>
      </c>
      <c r="K47" s="7">
        <f>IF(H47="","",ROUND((H47-J47)*'Danh mục'!$F$3/100,0))</f>
        <v/>
      </c>
      <c r="L47" s="7">
        <f>IF(H47="","",H47-J47+K47)</f>
        <v/>
      </c>
      <c r="M47">
        <f>IF(A47="","",MONTH(A47))</f>
        <v/>
      </c>
    </row>
    <row r="48" spans="1:13">
      <c r="A48" s="6"/>
      <c r="B48" s="4"/>
      <c r="C48" s="4"/>
      <c r="D48" s="4"/>
      <c r="E48">
        <f>IF(D48="","",IFERROR(VLOOKUP(D48,'Danh mục'!$A$4:$C$13,2,FALSE),"Không rõ mã"))</f>
        <v/>
      </c>
      <c r="F48" s="3"/>
      <c r="G48" s="7">
        <f>IF(D48="","",IFERROR(VLOOKUP(D48,'Danh mục'!$A$4:$C$13,3,FALSE),0))</f>
        <v/>
      </c>
      <c r="H48" s="7">
        <f>IF(F48="","",F48*G48)</f>
        <v/>
      </c>
      <c r="I48" s="8">
        <f>IF(F48="","",IF(F48&gt;=50,5%,IF(F48&gt;=20,2%,0)))</f>
        <v/>
      </c>
      <c r="J48" s="7">
        <f>IF(H48="","",ROUND(H48*I48,0))</f>
        <v/>
      </c>
      <c r="K48" s="7">
        <f>IF(H48="","",ROUND((H48-J48)*'Danh mục'!$F$3/100,0))</f>
        <v/>
      </c>
      <c r="L48" s="7">
        <f>IF(H48="","",H48-J48+K48)</f>
        <v/>
      </c>
      <c r="M48">
        <f>IF(A48="","",MONTH(A48))</f>
        <v/>
      </c>
    </row>
    <row r="49" spans="1:13">
      <c r="A49" s="6"/>
      <c r="B49" s="4"/>
      <c r="C49" s="4"/>
      <c r="D49" s="4"/>
      <c r="E49">
        <f>IF(D49="","",IFERROR(VLOOKUP(D49,'Danh mục'!$A$4:$C$13,2,FALSE),"Không rõ mã"))</f>
        <v/>
      </c>
      <c r="F49" s="3"/>
      <c r="G49" s="7">
        <f>IF(D49="","",IFERROR(VLOOKUP(D49,'Danh mục'!$A$4:$C$13,3,FALSE),0))</f>
        <v/>
      </c>
      <c r="H49" s="7">
        <f>IF(F49="","",F49*G49)</f>
        <v/>
      </c>
      <c r="I49" s="8">
        <f>IF(F49="","",IF(F49&gt;=50,5%,IF(F49&gt;=20,2%,0)))</f>
        <v/>
      </c>
      <c r="J49" s="7">
        <f>IF(H49="","",ROUND(H49*I49,0))</f>
        <v/>
      </c>
      <c r="K49" s="7">
        <f>IF(H49="","",ROUND((H49-J49)*'Danh mục'!$F$3/100,0))</f>
        <v/>
      </c>
      <c r="L49" s="7">
        <f>IF(H49="","",H49-J49+K49)</f>
        <v/>
      </c>
      <c r="M49">
        <f>IF(A49="","",MONTH(A49))</f>
        <v/>
      </c>
    </row>
    <row r="50" spans="1:13">
      <c r="A50" s="6"/>
      <c r="B50" s="4"/>
      <c r="C50" s="4"/>
      <c r="D50" s="4"/>
      <c r="E50">
        <f>IF(D50="","",IFERROR(VLOOKUP(D50,'Danh mục'!$A$4:$C$13,2,FALSE),"Không rõ mã"))</f>
        <v/>
      </c>
      <c r="F50" s="3"/>
      <c r="G50" s="7">
        <f>IF(D50="","",IFERROR(VLOOKUP(D50,'Danh mục'!$A$4:$C$13,3,FALSE),0))</f>
        <v/>
      </c>
      <c r="H50" s="7">
        <f>IF(F50="","",F50*G50)</f>
        <v/>
      </c>
      <c r="I50" s="8">
        <f>IF(F50="","",IF(F50&gt;=50,5%,IF(F50&gt;=20,2%,0)))</f>
        <v/>
      </c>
      <c r="J50" s="7">
        <f>IF(H50="","",ROUND(H50*I50,0))</f>
        <v/>
      </c>
      <c r="K50" s="7">
        <f>IF(H50="","",ROUND((H50-J50)*'Danh mục'!$F$3/100,0))</f>
        <v/>
      </c>
      <c r="L50" s="7">
        <f>IF(H50="","",H50-J50+K50)</f>
        <v/>
      </c>
      <c r="M50">
        <f>IF(A50="","",MONTH(A50))</f>
        <v/>
      </c>
    </row>
    <row r="51" spans="1:13">
      <c r="A51" s="6"/>
      <c r="B51" s="4"/>
      <c r="C51" s="4"/>
      <c r="D51" s="4"/>
      <c r="E51">
        <f>IF(D51="","",IFERROR(VLOOKUP(D51,'Danh mục'!$A$4:$C$13,2,FALSE),"Không rõ mã"))</f>
        <v/>
      </c>
      <c r="F51" s="3"/>
      <c r="G51" s="7">
        <f>IF(D51="","",IFERROR(VLOOKUP(D51,'Danh mục'!$A$4:$C$13,3,FALSE),0))</f>
        <v/>
      </c>
      <c r="H51" s="7">
        <f>IF(F51="","",F51*G51)</f>
        <v/>
      </c>
      <c r="I51" s="8">
        <f>IF(F51="","",IF(F51&gt;=50,5%,IF(F51&gt;=20,2%,0)))</f>
        <v/>
      </c>
      <c r="J51" s="7">
        <f>IF(H51="","",ROUND(H51*I51,0))</f>
        <v/>
      </c>
      <c r="K51" s="7">
        <f>IF(H51="","",ROUND((H51-J51)*'Danh mục'!$F$3/100,0))</f>
        <v/>
      </c>
      <c r="L51" s="7">
        <f>IF(H51="","",H51-J51+K51)</f>
        <v/>
      </c>
      <c r="M51">
        <f>IF(A51="","",MONTH(A51))</f>
        <v/>
      </c>
    </row>
    <row r="52" spans="1:13">
      <c r="A52" s="6"/>
      <c r="B52" s="4"/>
      <c r="C52" s="4"/>
      <c r="D52" s="4"/>
      <c r="E52">
        <f>IF(D52="","",IFERROR(VLOOKUP(D52,'Danh mục'!$A$4:$C$13,2,FALSE),"Không rõ mã"))</f>
        <v/>
      </c>
      <c r="F52" s="3"/>
      <c r="G52" s="7">
        <f>IF(D52="","",IFERROR(VLOOKUP(D52,'Danh mục'!$A$4:$C$13,3,FALSE),0))</f>
        <v/>
      </c>
      <c r="H52" s="7">
        <f>IF(F52="","",F52*G52)</f>
        <v/>
      </c>
      <c r="I52" s="8">
        <f>IF(F52="","",IF(F52&gt;=50,5%,IF(F52&gt;=20,2%,0)))</f>
        <v/>
      </c>
      <c r="J52" s="7">
        <f>IF(H52="","",ROUND(H52*I52,0))</f>
        <v/>
      </c>
      <c r="K52" s="7">
        <f>IF(H52="","",ROUND((H52-J52)*'Danh mục'!$F$3/100,0))</f>
        <v/>
      </c>
      <c r="L52" s="7">
        <f>IF(H52="","",H52-J52+K52)</f>
        <v/>
      </c>
      <c r="M52">
        <f>IF(A52="","",MONTH(A52))</f>
        <v/>
      </c>
    </row>
    <row r="53" spans="1:13">
      <c r="A53" s="6"/>
      <c r="B53" s="4"/>
      <c r="C53" s="4"/>
      <c r="D53" s="4"/>
      <c r="E53">
        <f>IF(D53="","",IFERROR(VLOOKUP(D53,'Danh mục'!$A$4:$C$13,2,FALSE),"Không rõ mã"))</f>
        <v/>
      </c>
      <c r="F53" s="3"/>
      <c r="G53" s="7">
        <f>IF(D53="","",IFERROR(VLOOKUP(D53,'Danh mục'!$A$4:$C$13,3,FALSE),0))</f>
        <v/>
      </c>
      <c r="H53" s="7">
        <f>IF(F53="","",F53*G53)</f>
        <v/>
      </c>
      <c r="I53" s="8">
        <f>IF(F53="","",IF(F53&gt;=50,5%,IF(F53&gt;=20,2%,0)))</f>
        <v/>
      </c>
      <c r="J53" s="7">
        <f>IF(H53="","",ROUND(H53*I53,0))</f>
        <v/>
      </c>
      <c r="K53" s="7">
        <f>IF(H53="","",ROUND((H53-J53)*'Danh mục'!$F$3/100,0))</f>
        <v/>
      </c>
      <c r="L53" s="7">
        <f>IF(H53="","",H53-J53+K53)</f>
        <v/>
      </c>
      <c r="M53">
        <f>IF(A53="","",MONTH(A53))</f>
        <v/>
      </c>
    </row>
    <row r="54" spans="1:13">
      <c r="A54" s="6"/>
      <c r="B54" s="4"/>
      <c r="C54" s="4"/>
      <c r="D54" s="4"/>
      <c r="E54">
        <f>IF(D54="","",IFERROR(VLOOKUP(D54,'Danh mục'!$A$4:$C$13,2,FALSE),"Không rõ mã"))</f>
        <v/>
      </c>
      <c r="F54" s="3"/>
      <c r="G54" s="7">
        <f>IF(D54="","",IFERROR(VLOOKUP(D54,'Danh mục'!$A$4:$C$13,3,FALSE),0))</f>
        <v/>
      </c>
      <c r="H54" s="7">
        <f>IF(F54="","",F54*G54)</f>
        <v/>
      </c>
      <c r="I54" s="8">
        <f>IF(F54="","",IF(F54&gt;=50,5%,IF(F54&gt;=20,2%,0)))</f>
        <v/>
      </c>
      <c r="J54" s="7">
        <f>IF(H54="","",ROUND(H54*I54,0))</f>
        <v/>
      </c>
      <c r="K54" s="7">
        <f>IF(H54="","",ROUND((H54-J54)*'Danh mục'!$F$3/100,0))</f>
        <v/>
      </c>
      <c r="L54" s="7">
        <f>IF(H54="","",H54-J54+K54)</f>
        <v/>
      </c>
      <c r="M54">
        <f>IF(A54="","",MONTH(A54))</f>
        <v/>
      </c>
    </row>
    <row r="55" spans="1:13">
      <c r="A55" s="6"/>
      <c r="B55" s="4"/>
      <c r="C55" s="4"/>
      <c r="D55" s="4"/>
      <c r="E55">
        <f>IF(D55="","",IFERROR(VLOOKUP(D55,'Danh mục'!$A$4:$C$13,2,FALSE),"Không rõ mã"))</f>
        <v/>
      </c>
      <c r="F55" s="3"/>
      <c r="G55" s="7">
        <f>IF(D55="","",IFERROR(VLOOKUP(D55,'Danh mục'!$A$4:$C$13,3,FALSE),0))</f>
        <v/>
      </c>
      <c r="H55" s="7">
        <f>IF(F55="","",F55*G55)</f>
        <v/>
      </c>
      <c r="I55" s="8">
        <f>IF(F55="","",IF(F55&gt;=50,5%,IF(F55&gt;=20,2%,0)))</f>
        <v/>
      </c>
      <c r="J55" s="7">
        <f>IF(H55="","",ROUND(H55*I55,0))</f>
        <v/>
      </c>
      <c r="K55" s="7">
        <f>IF(H55="","",ROUND((H55-J55)*'Danh mục'!$F$3/100,0))</f>
        <v/>
      </c>
      <c r="L55" s="7">
        <f>IF(H55="","",H55-J55+K55)</f>
        <v/>
      </c>
      <c r="M55">
        <f>IF(A55="","",MONTH(A55))</f>
        <v/>
      </c>
    </row>
    <row r="56" spans="1:13">
      <c r="A56" s="6"/>
      <c r="B56" s="4"/>
      <c r="C56" s="4"/>
      <c r="D56" s="4"/>
      <c r="E56">
        <f>IF(D56="","",IFERROR(VLOOKUP(D56,'Danh mục'!$A$4:$C$13,2,FALSE),"Không rõ mã"))</f>
        <v/>
      </c>
      <c r="F56" s="3"/>
      <c r="G56" s="7">
        <f>IF(D56="","",IFERROR(VLOOKUP(D56,'Danh mục'!$A$4:$C$13,3,FALSE),0))</f>
        <v/>
      </c>
      <c r="H56" s="7">
        <f>IF(F56="","",F56*G56)</f>
        <v/>
      </c>
      <c r="I56" s="8">
        <f>IF(F56="","",IF(F56&gt;=50,5%,IF(F56&gt;=20,2%,0)))</f>
        <v/>
      </c>
      <c r="J56" s="7">
        <f>IF(H56="","",ROUND(H56*I56,0))</f>
        <v/>
      </c>
      <c r="K56" s="7">
        <f>IF(H56="","",ROUND((H56-J56)*'Danh mục'!$F$3/100,0))</f>
        <v/>
      </c>
      <c r="L56" s="7">
        <f>IF(H56="","",H56-J56+K56)</f>
        <v/>
      </c>
      <c r="M56">
        <f>IF(A56="","",MONTH(A56))</f>
        <v/>
      </c>
    </row>
    <row r="57" spans="1:13">
      <c r="A57" s="6"/>
      <c r="B57" s="4"/>
      <c r="C57" s="4"/>
      <c r="D57" s="4"/>
      <c r="E57">
        <f>IF(D57="","",IFERROR(VLOOKUP(D57,'Danh mục'!$A$4:$C$13,2,FALSE),"Không rõ mã"))</f>
        <v/>
      </c>
      <c r="F57" s="3"/>
      <c r="G57" s="7">
        <f>IF(D57="","",IFERROR(VLOOKUP(D57,'Danh mục'!$A$4:$C$13,3,FALSE),0))</f>
        <v/>
      </c>
      <c r="H57" s="7">
        <f>IF(F57="","",F57*G57)</f>
        <v/>
      </c>
      <c r="I57" s="8">
        <f>IF(F57="","",IF(F57&gt;=50,5%,IF(F57&gt;=20,2%,0)))</f>
        <v/>
      </c>
      <c r="J57" s="7">
        <f>IF(H57="","",ROUND(H57*I57,0))</f>
        <v/>
      </c>
      <c r="K57" s="7">
        <f>IF(H57="","",ROUND((H57-J57)*'Danh mục'!$F$3/100,0))</f>
        <v/>
      </c>
      <c r="L57" s="7">
        <f>IF(H57="","",H57-J57+K57)</f>
        <v/>
      </c>
      <c r="M57">
        <f>IF(A57="","",MONTH(A57))</f>
        <v/>
      </c>
    </row>
    <row r="58" spans="1:13">
      <c r="A58" s="6"/>
      <c r="B58" s="4"/>
      <c r="C58" s="4"/>
      <c r="D58" s="4"/>
      <c r="E58">
        <f>IF(D58="","",IFERROR(VLOOKUP(D58,'Danh mục'!$A$4:$C$13,2,FALSE),"Không rõ mã"))</f>
        <v/>
      </c>
      <c r="F58" s="3"/>
      <c r="G58" s="7">
        <f>IF(D58="","",IFERROR(VLOOKUP(D58,'Danh mục'!$A$4:$C$13,3,FALSE),0))</f>
        <v/>
      </c>
      <c r="H58" s="7">
        <f>IF(F58="","",F58*G58)</f>
        <v/>
      </c>
      <c r="I58" s="8">
        <f>IF(F58="","",IF(F58&gt;=50,5%,IF(F58&gt;=20,2%,0)))</f>
        <v/>
      </c>
      <c r="J58" s="7">
        <f>IF(H58="","",ROUND(H58*I58,0))</f>
        <v/>
      </c>
      <c r="K58" s="7">
        <f>IF(H58="","",ROUND((H58-J58)*'Danh mục'!$F$3/100,0))</f>
        <v/>
      </c>
      <c r="L58" s="7">
        <f>IF(H58="","",H58-J58+K58)</f>
        <v/>
      </c>
      <c r="M58">
        <f>IF(A58="","",MONTH(A58))</f>
        <v/>
      </c>
    </row>
    <row r="59" spans="1:13">
      <c r="A59" s="6"/>
      <c r="B59" s="4"/>
      <c r="C59" s="4"/>
      <c r="D59" s="4"/>
      <c r="E59">
        <f>IF(D59="","",IFERROR(VLOOKUP(D59,'Danh mục'!$A$4:$C$13,2,FALSE),"Không rõ mã"))</f>
        <v/>
      </c>
      <c r="F59" s="3"/>
      <c r="G59" s="7">
        <f>IF(D59="","",IFERROR(VLOOKUP(D59,'Danh mục'!$A$4:$C$13,3,FALSE),0))</f>
        <v/>
      </c>
      <c r="H59" s="7">
        <f>IF(F59="","",F59*G59)</f>
        <v/>
      </c>
      <c r="I59" s="8">
        <f>IF(F59="","",IF(F59&gt;=50,5%,IF(F59&gt;=20,2%,0)))</f>
        <v/>
      </c>
      <c r="J59" s="7">
        <f>IF(H59="","",ROUND(H59*I59,0))</f>
        <v/>
      </c>
      <c r="K59" s="7">
        <f>IF(H59="","",ROUND((H59-J59)*'Danh mục'!$F$3/100,0))</f>
        <v/>
      </c>
      <c r="L59" s="7">
        <f>IF(H59="","",H59-J59+K59)</f>
        <v/>
      </c>
      <c r="M59">
        <f>IF(A59="","",MONTH(A59))</f>
        <v/>
      </c>
    </row>
    <row r="60" spans="1:13">
      <c r="A60" s="6"/>
      <c r="B60" s="4"/>
      <c r="C60" s="4"/>
      <c r="D60" s="4"/>
      <c r="E60">
        <f>IF(D60="","",IFERROR(VLOOKUP(D60,'Danh mục'!$A$4:$C$13,2,FALSE),"Không rõ mã"))</f>
        <v/>
      </c>
      <c r="F60" s="3"/>
      <c r="G60" s="7">
        <f>IF(D60="","",IFERROR(VLOOKUP(D60,'Danh mục'!$A$4:$C$13,3,FALSE),0))</f>
        <v/>
      </c>
      <c r="H60" s="7">
        <f>IF(F60="","",F60*G60)</f>
        <v/>
      </c>
      <c r="I60" s="8">
        <f>IF(F60="","",IF(F60&gt;=50,5%,IF(F60&gt;=20,2%,0)))</f>
        <v/>
      </c>
      <c r="J60" s="7">
        <f>IF(H60="","",ROUND(H60*I60,0))</f>
        <v/>
      </c>
      <c r="K60" s="7">
        <f>IF(H60="","",ROUND((H60-J60)*'Danh mục'!$F$3/100,0))</f>
        <v/>
      </c>
      <c r="L60" s="7">
        <f>IF(H60="","",H60-J60+K60)</f>
        <v/>
      </c>
      <c r="M60">
        <f>IF(A60="","",MONTH(A60))</f>
        <v/>
      </c>
    </row>
    <row r="61" spans="1:13">
      <c r="A61" s="6"/>
      <c r="B61" s="4"/>
      <c r="C61" s="4"/>
      <c r="D61" s="4"/>
      <c r="E61">
        <f>IF(D61="","",IFERROR(VLOOKUP(D61,'Danh mục'!$A$4:$C$13,2,FALSE),"Không rõ mã"))</f>
        <v/>
      </c>
      <c r="F61" s="3"/>
      <c r="G61" s="7">
        <f>IF(D61="","",IFERROR(VLOOKUP(D61,'Danh mục'!$A$4:$C$13,3,FALSE),0))</f>
        <v/>
      </c>
      <c r="H61" s="7">
        <f>IF(F61="","",F61*G61)</f>
        <v/>
      </c>
      <c r="I61" s="8">
        <f>IF(F61="","",IF(F61&gt;=50,5%,IF(F61&gt;=20,2%,0)))</f>
        <v/>
      </c>
      <c r="J61" s="7">
        <f>IF(H61="","",ROUND(H61*I61,0))</f>
        <v/>
      </c>
      <c r="K61" s="7">
        <f>IF(H61="","",ROUND((H61-J61)*'Danh mục'!$F$3/100,0))</f>
        <v/>
      </c>
      <c r="L61" s="7">
        <f>IF(H61="","",H61-J61+K61)</f>
        <v/>
      </c>
      <c r="M61">
        <f>IF(A61="","",MONTH(A61))</f>
        <v/>
      </c>
    </row>
    <row r="62" spans="1:13">
      <c r="A62" s="6"/>
      <c r="B62" s="4"/>
      <c r="C62" s="4"/>
      <c r="D62" s="4"/>
      <c r="E62">
        <f>IF(D62="","",IFERROR(VLOOKUP(D62,'Danh mục'!$A$4:$C$13,2,FALSE),"Không rõ mã"))</f>
        <v/>
      </c>
      <c r="F62" s="3"/>
      <c r="G62" s="7">
        <f>IF(D62="","",IFERROR(VLOOKUP(D62,'Danh mục'!$A$4:$C$13,3,FALSE),0))</f>
        <v/>
      </c>
      <c r="H62" s="7">
        <f>IF(F62="","",F62*G62)</f>
        <v/>
      </c>
      <c r="I62" s="8">
        <f>IF(F62="","",IF(F62&gt;=50,5%,IF(F62&gt;=20,2%,0)))</f>
        <v/>
      </c>
      <c r="J62" s="7">
        <f>IF(H62="","",ROUND(H62*I62,0))</f>
        <v/>
      </c>
      <c r="K62" s="7">
        <f>IF(H62="","",ROUND((H62-J62)*'Danh mục'!$F$3/100,0))</f>
        <v/>
      </c>
      <c r="L62" s="7">
        <f>IF(H62="","",H62-J62+K62)</f>
        <v/>
      </c>
      <c r="M62">
        <f>IF(A62="","",MONTH(A62))</f>
        <v/>
      </c>
    </row>
    <row r="63" spans="1:13">
      <c r="A63" s="6"/>
      <c r="B63" s="4"/>
      <c r="C63" s="4"/>
      <c r="D63" s="4"/>
      <c r="E63">
        <f>IF(D63="","",IFERROR(VLOOKUP(D63,'Danh mục'!$A$4:$C$13,2,FALSE),"Không rõ mã"))</f>
        <v/>
      </c>
      <c r="F63" s="3"/>
      <c r="G63" s="7">
        <f>IF(D63="","",IFERROR(VLOOKUP(D63,'Danh mục'!$A$4:$C$13,3,FALSE),0))</f>
        <v/>
      </c>
      <c r="H63" s="7">
        <f>IF(F63="","",F63*G63)</f>
        <v/>
      </c>
      <c r="I63" s="8">
        <f>IF(F63="","",IF(F63&gt;=50,5%,IF(F63&gt;=20,2%,0)))</f>
        <v/>
      </c>
      <c r="J63" s="7">
        <f>IF(H63="","",ROUND(H63*I63,0))</f>
        <v/>
      </c>
      <c r="K63" s="7">
        <f>IF(H63="","",ROUND((H63-J63)*'Danh mục'!$F$3/100,0))</f>
        <v/>
      </c>
      <c r="L63" s="7">
        <f>IF(H63="","",H63-J63+K63)</f>
        <v/>
      </c>
      <c r="M63">
        <f>IF(A63="","",MONTH(A63))</f>
        <v/>
      </c>
    </row>
    <row r="64" spans="1:13">
      <c r="A64" s="6"/>
      <c r="B64" s="4"/>
      <c r="C64" s="4"/>
      <c r="D64" s="4"/>
      <c r="E64">
        <f>IF(D64="","",IFERROR(VLOOKUP(D64,'Danh mục'!$A$4:$C$13,2,FALSE),"Không rõ mã"))</f>
        <v/>
      </c>
      <c r="F64" s="3"/>
      <c r="G64" s="7">
        <f>IF(D64="","",IFERROR(VLOOKUP(D64,'Danh mục'!$A$4:$C$13,3,FALSE),0))</f>
        <v/>
      </c>
      <c r="H64" s="7">
        <f>IF(F64="","",F64*G64)</f>
        <v/>
      </c>
      <c r="I64" s="8">
        <f>IF(F64="","",IF(F64&gt;=50,5%,IF(F64&gt;=20,2%,0)))</f>
        <v/>
      </c>
      <c r="J64" s="7">
        <f>IF(H64="","",ROUND(H64*I64,0))</f>
        <v/>
      </c>
      <c r="K64" s="7">
        <f>IF(H64="","",ROUND((H64-J64)*'Danh mục'!$F$3/100,0))</f>
        <v/>
      </c>
      <c r="L64" s="7">
        <f>IF(H64="","",H64-J64+K64)</f>
        <v/>
      </c>
      <c r="M64">
        <f>IF(A64="","",MONTH(A64))</f>
        <v/>
      </c>
    </row>
    <row r="65" spans="1:13">
      <c r="A65" s="6"/>
      <c r="B65" s="4"/>
      <c r="C65" s="4"/>
      <c r="D65" s="4"/>
      <c r="E65">
        <f>IF(D65="","",IFERROR(VLOOKUP(D65,'Danh mục'!$A$4:$C$13,2,FALSE),"Không rõ mã"))</f>
        <v/>
      </c>
      <c r="F65" s="3"/>
      <c r="G65" s="7">
        <f>IF(D65="","",IFERROR(VLOOKUP(D65,'Danh mục'!$A$4:$C$13,3,FALSE),0))</f>
        <v/>
      </c>
      <c r="H65" s="7">
        <f>IF(F65="","",F65*G65)</f>
        <v/>
      </c>
      <c r="I65" s="8">
        <f>IF(F65="","",IF(F65&gt;=50,5%,IF(F65&gt;=20,2%,0)))</f>
        <v/>
      </c>
      <c r="J65" s="7">
        <f>IF(H65="","",ROUND(H65*I65,0))</f>
        <v/>
      </c>
      <c r="K65" s="7">
        <f>IF(H65="","",ROUND((H65-J65)*'Danh mục'!$F$3/100,0))</f>
        <v/>
      </c>
      <c r="L65" s="7">
        <f>IF(H65="","",H65-J65+K65)</f>
        <v/>
      </c>
      <c r="M65">
        <f>IF(A65="","",MONTH(A65))</f>
        <v/>
      </c>
    </row>
    <row r="66" spans="1:13">
      <c r="A66" s="6"/>
      <c r="B66" s="4"/>
      <c r="C66" s="4"/>
      <c r="D66" s="4"/>
      <c r="E66">
        <f>IF(D66="","",IFERROR(VLOOKUP(D66,'Danh mục'!$A$4:$C$13,2,FALSE),"Không rõ mã"))</f>
        <v/>
      </c>
      <c r="F66" s="3"/>
      <c r="G66" s="7">
        <f>IF(D66="","",IFERROR(VLOOKUP(D66,'Danh mục'!$A$4:$C$13,3,FALSE),0))</f>
        <v/>
      </c>
      <c r="H66" s="7">
        <f>IF(F66="","",F66*G66)</f>
        <v/>
      </c>
      <c r="I66" s="8">
        <f>IF(F66="","",IF(F66&gt;=50,5%,IF(F66&gt;=20,2%,0)))</f>
        <v/>
      </c>
      <c r="J66" s="7">
        <f>IF(H66="","",ROUND(H66*I66,0))</f>
        <v/>
      </c>
      <c r="K66" s="7">
        <f>IF(H66="","",ROUND((H66-J66)*'Danh mục'!$F$3/100,0))</f>
        <v/>
      </c>
      <c r="L66" s="7">
        <f>IF(H66="","",H66-J66+K66)</f>
        <v/>
      </c>
      <c r="M66">
        <f>IF(A66="","",MONTH(A66))</f>
        <v/>
      </c>
    </row>
    <row r="67" spans="1:13">
      <c r="A67" s="6"/>
      <c r="B67" s="4"/>
      <c r="C67" s="4"/>
      <c r="D67" s="4"/>
      <c r="E67">
        <f>IF(D67="","",IFERROR(VLOOKUP(D67,'Danh mục'!$A$4:$C$13,2,FALSE),"Không rõ mã"))</f>
        <v/>
      </c>
      <c r="F67" s="3"/>
      <c r="G67" s="7">
        <f>IF(D67="","",IFERROR(VLOOKUP(D67,'Danh mục'!$A$4:$C$13,3,FALSE),0))</f>
        <v/>
      </c>
      <c r="H67" s="7">
        <f>IF(F67="","",F67*G67)</f>
        <v/>
      </c>
      <c r="I67" s="8">
        <f>IF(F67="","",IF(F67&gt;=50,5%,IF(F67&gt;=20,2%,0)))</f>
        <v/>
      </c>
      <c r="J67" s="7">
        <f>IF(H67="","",ROUND(H67*I67,0))</f>
        <v/>
      </c>
      <c r="K67" s="7">
        <f>IF(H67="","",ROUND((H67-J67)*'Danh mục'!$F$3/100,0))</f>
        <v/>
      </c>
      <c r="L67" s="7">
        <f>IF(H67="","",H67-J67+K67)</f>
        <v/>
      </c>
      <c r="M67">
        <f>IF(A67="","",MONTH(A67))</f>
        <v/>
      </c>
    </row>
    <row r="68" spans="1:13">
      <c r="A68" s="6"/>
      <c r="B68" s="4"/>
      <c r="C68" s="4"/>
      <c r="D68" s="4"/>
      <c r="E68">
        <f>IF(D68="","",IFERROR(VLOOKUP(D68,'Danh mục'!$A$4:$C$13,2,FALSE),"Không rõ mã"))</f>
        <v/>
      </c>
      <c r="F68" s="3"/>
      <c r="G68" s="7">
        <f>IF(D68="","",IFERROR(VLOOKUP(D68,'Danh mục'!$A$4:$C$13,3,FALSE),0))</f>
        <v/>
      </c>
      <c r="H68" s="7">
        <f>IF(F68="","",F68*G68)</f>
        <v/>
      </c>
      <c r="I68" s="8">
        <f>IF(F68="","",IF(F68&gt;=50,5%,IF(F68&gt;=20,2%,0)))</f>
        <v/>
      </c>
      <c r="J68" s="7">
        <f>IF(H68="","",ROUND(H68*I68,0))</f>
        <v/>
      </c>
      <c r="K68" s="7">
        <f>IF(H68="","",ROUND((H68-J68)*'Danh mục'!$F$3/100,0))</f>
        <v/>
      </c>
      <c r="L68" s="7">
        <f>IF(H68="","",H68-J68+K68)</f>
        <v/>
      </c>
      <c r="M68">
        <f>IF(A68="","",MONTH(A68))</f>
        <v/>
      </c>
    </row>
    <row r="69" spans="1:13">
      <c r="A69" s="6"/>
      <c r="B69" s="4"/>
      <c r="C69" s="4"/>
      <c r="D69" s="4"/>
      <c r="E69">
        <f>IF(D69="","",IFERROR(VLOOKUP(D69,'Danh mục'!$A$4:$C$13,2,FALSE),"Không rõ mã"))</f>
        <v/>
      </c>
      <c r="F69" s="3"/>
      <c r="G69" s="7">
        <f>IF(D69="","",IFERROR(VLOOKUP(D69,'Danh mục'!$A$4:$C$13,3,FALSE),0))</f>
        <v/>
      </c>
      <c r="H69" s="7">
        <f>IF(F69="","",F69*G69)</f>
        <v/>
      </c>
      <c r="I69" s="8">
        <f>IF(F69="","",IF(F69&gt;=50,5%,IF(F69&gt;=20,2%,0)))</f>
        <v/>
      </c>
      <c r="J69" s="7">
        <f>IF(H69="","",ROUND(H69*I69,0))</f>
        <v/>
      </c>
      <c r="K69" s="7">
        <f>IF(H69="","",ROUND((H69-J69)*'Danh mục'!$F$3/100,0))</f>
        <v/>
      </c>
      <c r="L69" s="7">
        <f>IF(H69="","",H69-J69+K69)</f>
        <v/>
      </c>
      <c r="M69">
        <f>IF(A69="","",MONTH(A69))</f>
        <v/>
      </c>
    </row>
    <row r="70" spans="1:13">
      <c r="A70" s="6"/>
      <c r="B70" s="4"/>
      <c r="C70" s="4"/>
      <c r="D70" s="4"/>
      <c r="E70">
        <f>IF(D70="","",IFERROR(VLOOKUP(D70,'Danh mục'!$A$4:$C$13,2,FALSE),"Không rõ mã"))</f>
        <v/>
      </c>
      <c r="F70" s="3"/>
      <c r="G70" s="7">
        <f>IF(D70="","",IFERROR(VLOOKUP(D70,'Danh mục'!$A$4:$C$13,3,FALSE),0))</f>
        <v/>
      </c>
      <c r="H70" s="7">
        <f>IF(F70="","",F70*G70)</f>
        <v/>
      </c>
      <c r="I70" s="8">
        <f>IF(F70="","",IF(F70&gt;=50,5%,IF(F70&gt;=20,2%,0)))</f>
        <v/>
      </c>
      <c r="J70" s="7">
        <f>IF(H70="","",ROUND(H70*I70,0))</f>
        <v/>
      </c>
      <c r="K70" s="7">
        <f>IF(H70="","",ROUND((H70-J70)*'Danh mục'!$F$3/100,0))</f>
        <v/>
      </c>
      <c r="L70" s="7">
        <f>IF(H70="","",H70-J70+K70)</f>
        <v/>
      </c>
      <c r="M70">
        <f>IF(A70="","",MONTH(A70))</f>
        <v/>
      </c>
    </row>
    <row r="71" spans="1:13">
      <c r="A71" s="6"/>
      <c r="B71" s="4"/>
      <c r="C71" s="4"/>
      <c r="D71" s="4"/>
      <c r="E71">
        <f>IF(D71="","",IFERROR(VLOOKUP(D71,'Danh mục'!$A$4:$C$13,2,FALSE),"Không rõ mã"))</f>
        <v/>
      </c>
      <c r="F71" s="3"/>
      <c r="G71" s="7">
        <f>IF(D71="","",IFERROR(VLOOKUP(D71,'Danh mục'!$A$4:$C$13,3,FALSE),0))</f>
        <v/>
      </c>
      <c r="H71" s="7">
        <f>IF(F71="","",F71*G71)</f>
        <v/>
      </c>
      <c r="I71" s="8">
        <f>IF(F71="","",IF(F71&gt;=50,5%,IF(F71&gt;=20,2%,0)))</f>
        <v/>
      </c>
      <c r="J71" s="7">
        <f>IF(H71="","",ROUND(H71*I71,0))</f>
        <v/>
      </c>
      <c r="K71" s="7">
        <f>IF(H71="","",ROUND((H71-J71)*'Danh mục'!$F$3/100,0))</f>
        <v/>
      </c>
      <c r="L71" s="7">
        <f>IF(H71="","",H71-J71+K71)</f>
        <v/>
      </c>
      <c r="M71">
        <f>IF(A71="","",MONTH(A71))</f>
        <v/>
      </c>
    </row>
    <row r="72" spans="1:13">
      <c r="A72" s="6"/>
      <c r="B72" s="4"/>
      <c r="C72" s="4"/>
      <c r="D72" s="4"/>
      <c r="E72">
        <f>IF(D72="","",IFERROR(VLOOKUP(D72,'Danh mục'!$A$4:$C$13,2,FALSE),"Không rõ mã"))</f>
        <v/>
      </c>
      <c r="F72" s="3"/>
      <c r="G72" s="7">
        <f>IF(D72="","",IFERROR(VLOOKUP(D72,'Danh mục'!$A$4:$C$13,3,FALSE),0))</f>
        <v/>
      </c>
      <c r="H72" s="7">
        <f>IF(F72="","",F72*G72)</f>
        <v/>
      </c>
      <c r="I72" s="8">
        <f>IF(F72="","",IF(F72&gt;=50,5%,IF(F72&gt;=20,2%,0)))</f>
        <v/>
      </c>
      <c r="J72" s="7">
        <f>IF(H72="","",ROUND(H72*I72,0))</f>
        <v/>
      </c>
      <c r="K72" s="7">
        <f>IF(H72="","",ROUND((H72-J72)*'Danh mục'!$F$3/100,0))</f>
        <v/>
      </c>
      <c r="L72" s="7">
        <f>IF(H72="","",H72-J72+K72)</f>
        <v/>
      </c>
      <c r="M72">
        <f>IF(A72="","",MONTH(A72))</f>
        <v/>
      </c>
    </row>
    <row r="73" spans="1:13">
      <c r="A73" s="6"/>
      <c r="B73" s="4"/>
      <c r="C73" s="4"/>
      <c r="D73" s="4"/>
      <c r="E73">
        <f>IF(D73="","",IFERROR(VLOOKUP(D73,'Danh mục'!$A$4:$C$13,2,FALSE),"Không rõ mã"))</f>
        <v/>
      </c>
      <c r="F73" s="3"/>
      <c r="G73" s="7">
        <f>IF(D73="","",IFERROR(VLOOKUP(D73,'Danh mục'!$A$4:$C$13,3,FALSE),0))</f>
        <v/>
      </c>
      <c r="H73" s="7">
        <f>IF(F73="","",F73*G73)</f>
        <v/>
      </c>
      <c r="I73" s="8">
        <f>IF(F73="","",IF(F73&gt;=50,5%,IF(F73&gt;=20,2%,0)))</f>
        <v/>
      </c>
      <c r="J73" s="7">
        <f>IF(H73="","",ROUND(H73*I73,0))</f>
        <v/>
      </c>
      <c r="K73" s="7">
        <f>IF(H73="","",ROUND((H73-J73)*'Danh mục'!$F$3/100,0))</f>
        <v/>
      </c>
      <c r="L73" s="7">
        <f>IF(H73="","",H73-J73+K73)</f>
        <v/>
      </c>
      <c r="M73">
        <f>IF(A73="","",MONTH(A73))</f>
        <v/>
      </c>
    </row>
    <row r="74" spans="1:13">
      <c r="A74" s="6"/>
      <c r="B74" s="4"/>
      <c r="C74" s="4"/>
      <c r="D74" s="4"/>
      <c r="E74">
        <f>IF(D74="","",IFERROR(VLOOKUP(D74,'Danh mục'!$A$4:$C$13,2,FALSE),"Không rõ mã"))</f>
        <v/>
      </c>
      <c r="F74" s="3"/>
      <c r="G74" s="7">
        <f>IF(D74="","",IFERROR(VLOOKUP(D74,'Danh mục'!$A$4:$C$13,3,FALSE),0))</f>
        <v/>
      </c>
      <c r="H74" s="7">
        <f>IF(F74="","",F74*G74)</f>
        <v/>
      </c>
      <c r="I74" s="8">
        <f>IF(F74="","",IF(F74&gt;=50,5%,IF(F74&gt;=20,2%,0)))</f>
        <v/>
      </c>
      <c r="J74" s="7">
        <f>IF(H74="","",ROUND(H74*I74,0))</f>
        <v/>
      </c>
      <c r="K74" s="7">
        <f>IF(H74="","",ROUND((H74-J74)*'Danh mục'!$F$3/100,0))</f>
        <v/>
      </c>
      <c r="L74" s="7">
        <f>IF(H74="","",H74-J74+K74)</f>
        <v/>
      </c>
      <c r="M74">
        <f>IF(A74="","",MONTH(A74))</f>
        <v/>
      </c>
    </row>
    <row r="75" spans="1:13">
      <c r="A75" s="6"/>
      <c r="B75" s="4"/>
      <c r="C75" s="4"/>
      <c r="D75" s="4"/>
      <c r="E75">
        <f>IF(D75="","",IFERROR(VLOOKUP(D75,'Danh mục'!$A$4:$C$13,2,FALSE),"Không rõ mã"))</f>
        <v/>
      </c>
      <c r="F75" s="3"/>
      <c r="G75" s="7">
        <f>IF(D75="","",IFERROR(VLOOKUP(D75,'Danh mục'!$A$4:$C$13,3,FALSE),0))</f>
        <v/>
      </c>
      <c r="H75" s="7">
        <f>IF(F75="","",F75*G75)</f>
        <v/>
      </c>
      <c r="I75" s="8">
        <f>IF(F75="","",IF(F75&gt;=50,5%,IF(F75&gt;=20,2%,0)))</f>
        <v/>
      </c>
      <c r="J75" s="7">
        <f>IF(H75="","",ROUND(H75*I75,0))</f>
        <v/>
      </c>
      <c r="K75" s="7">
        <f>IF(H75="","",ROUND((H75-J75)*'Danh mục'!$F$3/100,0))</f>
        <v/>
      </c>
      <c r="L75" s="7">
        <f>IF(H75="","",H75-J75+K75)</f>
        <v/>
      </c>
      <c r="M75">
        <f>IF(A75="","",MONTH(A75))</f>
        <v/>
      </c>
    </row>
    <row r="76" spans="1:13">
      <c r="A76" s="6"/>
      <c r="B76" s="4"/>
      <c r="C76" s="4"/>
      <c r="D76" s="4"/>
      <c r="E76">
        <f>IF(D76="","",IFERROR(VLOOKUP(D76,'Danh mục'!$A$4:$C$13,2,FALSE),"Không rõ mã"))</f>
        <v/>
      </c>
      <c r="F76" s="3"/>
      <c r="G76" s="7">
        <f>IF(D76="","",IFERROR(VLOOKUP(D76,'Danh mục'!$A$4:$C$13,3,FALSE),0))</f>
        <v/>
      </c>
      <c r="H76" s="7">
        <f>IF(F76="","",F76*G76)</f>
        <v/>
      </c>
      <c r="I76" s="8">
        <f>IF(F76="","",IF(F76&gt;=50,5%,IF(F76&gt;=20,2%,0)))</f>
        <v/>
      </c>
      <c r="J76" s="7">
        <f>IF(H76="","",ROUND(H76*I76,0))</f>
        <v/>
      </c>
      <c r="K76" s="7">
        <f>IF(H76="","",ROUND((H76-J76)*'Danh mục'!$F$3/100,0))</f>
        <v/>
      </c>
      <c r="L76" s="7">
        <f>IF(H76="","",H76-J76+K76)</f>
        <v/>
      </c>
      <c r="M76">
        <f>IF(A76="","",MONTH(A76))</f>
        <v/>
      </c>
    </row>
    <row r="77" spans="1:13">
      <c r="A77" s="6"/>
      <c r="B77" s="4"/>
      <c r="C77" s="4"/>
      <c r="D77" s="4"/>
      <c r="E77">
        <f>IF(D77="","",IFERROR(VLOOKUP(D77,'Danh mục'!$A$4:$C$13,2,FALSE),"Không rõ mã"))</f>
        <v/>
      </c>
      <c r="F77" s="3"/>
      <c r="G77" s="7">
        <f>IF(D77="","",IFERROR(VLOOKUP(D77,'Danh mục'!$A$4:$C$13,3,FALSE),0))</f>
        <v/>
      </c>
      <c r="H77" s="7">
        <f>IF(F77="","",F77*G77)</f>
        <v/>
      </c>
      <c r="I77" s="8">
        <f>IF(F77="","",IF(F77&gt;=50,5%,IF(F77&gt;=20,2%,0)))</f>
        <v/>
      </c>
      <c r="J77" s="7">
        <f>IF(H77="","",ROUND(H77*I77,0))</f>
        <v/>
      </c>
      <c r="K77" s="7">
        <f>IF(H77="","",ROUND((H77-J77)*'Danh mục'!$F$3/100,0))</f>
        <v/>
      </c>
      <c r="L77" s="7">
        <f>IF(H77="","",H77-J77+K77)</f>
        <v/>
      </c>
      <c r="M77">
        <f>IF(A77="","",MONTH(A77))</f>
        <v/>
      </c>
    </row>
    <row r="78" spans="1:13">
      <c r="A78" s="6"/>
      <c r="B78" s="4"/>
      <c r="C78" s="4"/>
      <c r="D78" s="4"/>
      <c r="E78">
        <f>IF(D78="","",IFERROR(VLOOKUP(D78,'Danh mục'!$A$4:$C$13,2,FALSE),"Không rõ mã"))</f>
        <v/>
      </c>
      <c r="F78" s="3"/>
      <c r="G78" s="7">
        <f>IF(D78="","",IFERROR(VLOOKUP(D78,'Danh mục'!$A$4:$C$13,3,FALSE),0))</f>
        <v/>
      </c>
      <c r="H78" s="7">
        <f>IF(F78="","",F78*G78)</f>
        <v/>
      </c>
      <c r="I78" s="8">
        <f>IF(F78="","",IF(F78&gt;=50,5%,IF(F78&gt;=20,2%,0)))</f>
        <v/>
      </c>
      <c r="J78" s="7">
        <f>IF(H78="","",ROUND(H78*I78,0))</f>
        <v/>
      </c>
      <c r="K78" s="7">
        <f>IF(H78="","",ROUND((H78-J78)*'Danh mục'!$F$3/100,0))</f>
        <v/>
      </c>
      <c r="L78" s="7">
        <f>IF(H78="","",H78-J78+K78)</f>
        <v/>
      </c>
      <c r="M78">
        <f>IF(A78="","",MONTH(A78))</f>
        <v/>
      </c>
    </row>
    <row r="79" spans="1:13">
      <c r="A79" s="6"/>
      <c r="B79" s="4"/>
      <c r="C79" s="4"/>
      <c r="D79" s="4"/>
      <c r="E79">
        <f>IF(D79="","",IFERROR(VLOOKUP(D79,'Danh mục'!$A$4:$C$13,2,FALSE),"Không rõ mã"))</f>
        <v/>
      </c>
      <c r="F79" s="3"/>
      <c r="G79" s="7">
        <f>IF(D79="","",IFERROR(VLOOKUP(D79,'Danh mục'!$A$4:$C$13,3,FALSE),0))</f>
        <v/>
      </c>
      <c r="H79" s="7">
        <f>IF(F79="","",F79*G79)</f>
        <v/>
      </c>
      <c r="I79" s="8">
        <f>IF(F79="","",IF(F79&gt;=50,5%,IF(F79&gt;=20,2%,0)))</f>
        <v/>
      </c>
      <c r="J79" s="7">
        <f>IF(H79="","",ROUND(H79*I79,0))</f>
        <v/>
      </c>
      <c r="K79" s="7">
        <f>IF(H79="","",ROUND((H79-J79)*'Danh mục'!$F$3/100,0))</f>
        <v/>
      </c>
      <c r="L79" s="7">
        <f>IF(H79="","",H79-J79+K79)</f>
        <v/>
      </c>
      <c r="M79">
        <f>IF(A79="","",MONTH(A79))</f>
        <v/>
      </c>
    </row>
    <row r="80" spans="1:13">
      <c r="A80" s="6"/>
      <c r="B80" s="4"/>
      <c r="C80" s="4"/>
      <c r="D80" s="4"/>
      <c r="E80">
        <f>IF(D80="","",IFERROR(VLOOKUP(D80,'Danh mục'!$A$4:$C$13,2,FALSE),"Không rõ mã"))</f>
        <v/>
      </c>
      <c r="F80" s="3"/>
      <c r="G80" s="7">
        <f>IF(D80="","",IFERROR(VLOOKUP(D80,'Danh mục'!$A$4:$C$13,3,FALSE),0))</f>
        <v/>
      </c>
      <c r="H80" s="7">
        <f>IF(F80="","",F80*G80)</f>
        <v/>
      </c>
      <c r="I80" s="8">
        <f>IF(F80="","",IF(F80&gt;=50,5%,IF(F80&gt;=20,2%,0)))</f>
        <v/>
      </c>
      <c r="J80" s="7">
        <f>IF(H80="","",ROUND(H80*I80,0))</f>
        <v/>
      </c>
      <c r="K80" s="7">
        <f>IF(H80="","",ROUND((H80-J80)*'Danh mục'!$F$3/100,0))</f>
        <v/>
      </c>
      <c r="L80" s="7">
        <f>IF(H80="","",H80-J80+K80)</f>
        <v/>
      </c>
      <c r="M80">
        <f>IF(A80="","",MONTH(A80))</f>
        <v/>
      </c>
    </row>
    <row r="81" spans="1:13">
      <c r="A81" s="6"/>
      <c r="B81" s="4"/>
      <c r="C81" s="4"/>
      <c r="D81" s="4"/>
      <c r="E81">
        <f>IF(D81="","",IFERROR(VLOOKUP(D81,'Danh mục'!$A$4:$C$13,2,FALSE),"Không rõ mã"))</f>
        <v/>
      </c>
      <c r="F81" s="3"/>
      <c r="G81" s="7">
        <f>IF(D81="","",IFERROR(VLOOKUP(D81,'Danh mục'!$A$4:$C$13,3,FALSE),0))</f>
        <v/>
      </c>
      <c r="H81" s="7">
        <f>IF(F81="","",F81*G81)</f>
        <v/>
      </c>
      <c r="I81" s="8">
        <f>IF(F81="","",IF(F81&gt;=50,5%,IF(F81&gt;=20,2%,0)))</f>
        <v/>
      </c>
      <c r="J81" s="7">
        <f>IF(H81="","",ROUND(H81*I81,0))</f>
        <v/>
      </c>
      <c r="K81" s="7">
        <f>IF(H81="","",ROUND((H81-J81)*'Danh mục'!$F$3/100,0))</f>
        <v/>
      </c>
      <c r="L81" s="7">
        <f>IF(H81="","",H81-J81+K81)</f>
        <v/>
      </c>
      <c r="M81">
        <f>IF(A81="","",MONTH(A81))</f>
        <v/>
      </c>
    </row>
    <row r="82" spans="1:13">
      <c r="A82" s="6"/>
      <c r="B82" s="4"/>
      <c r="C82" s="4"/>
      <c r="D82" s="4"/>
      <c r="E82">
        <f>IF(D82="","",IFERROR(VLOOKUP(D82,'Danh mục'!$A$4:$C$13,2,FALSE),"Không rõ mã"))</f>
        <v/>
      </c>
      <c r="F82" s="3"/>
      <c r="G82" s="7">
        <f>IF(D82="","",IFERROR(VLOOKUP(D82,'Danh mục'!$A$4:$C$13,3,FALSE),0))</f>
        <v/>
      </c>
      <c r="H82" s="7">
        <f>IF(F82="","",F82*G82)</f>
        <v/>
      </c>
      <c r="I82" s="8">
        <f>IF(F82="","",IF(F82&gt;=50,5%,IF(F82&gt;=20,2%,0)))</f>
        <v/>
      </c>
      <c r="J82" s="7">
        <f>IF(H82="","",ROUND(H82*I82,0))</f>
        <v/>
      </c>
      <c r="K82" s="7">
        <f>IF(H82="","",ROUND((H82-J82)*'Danh mục'!$F$3/100,0))</f>
        <v/>
      </c>
      <c r="L82" s="7">
        <f>IF(H82="","",H82-J82+K82)</f>
        <v/>
      </c>
      <c r="M82">
        <f>IF(A82="","",MONTH(A82))</f>
        <v/>
      </c>
    </row>
    <row r="83" spans="1:13">
      <c r="A83" s="6"/>
      <c r="B83" s="4"/>
      <c r="C83" s="4"/>
      <c r="D83" s="4"/>
      <c r="E83">
        <f>IF(D83="","",IFERROR(VLOOKUP(D83,'Danh mục'!$A$4:$C$13,2,FALSE),"Không rõ mã"))</f>
        <v/>
      </c>
      <c r="F83" s="3"/>
      <c r="G83" s="7">
        <f>IF(D83="","",IFERROR(VLOOKUP(D83,'Danh mục'!$A$4:$C$13,3,FALSE),0))</f>
        <v/>
      </c>
      <c r="H83" s="7">
        <f>IF(F83="","",F83*G83)</f>
        <v/>
      </c>
      <c r="I83" s="8">
        <f>IF(F83="","",IF(F83&gt;=50,5%,IF(F83&gt;=20,2%,0)))</f>
        <v/>
      </c>
      <c r="J83" s="7">
        <f>IF(H83="","",ROUND(H83*I83,0))</f>
        <v/>
      </c>
      <c r="K83" s="7">
        <f>IF(H83="","",ROUND((H83-J83)*'Danh mục'!$F$3/100,0))</f>
        <v/>
      </c>
      <c r="L83" s="7">
        <f>IF(H83="","",H83-J83+K83)</f>
        <v/>
      </c>
      <c r="M83">
        <f>IF(A83="","",MONTH(A83))</f>
        <v/>
      </c>
    </row>
    <row r="84" spans="1:13">
      <c r="A84" s="6"/>
      <c r="B84" s="4"/>
      <c r="C84" s="4"/>
      <c r="D84" s="4"/>
      <c r="E84">
        <f>IF(D84="","",IFERROR(VLOOKUP(D84,'Danh mục'!$A$4:$C$13,2,FALSE),"Không rõ mã"))</f>
        <v/>
      </c>
      <c r="F84" s="3"/>
      <c r="G84" s="7">
        <f>IF(D84="","",IFERROR(VLOOKUP(D84,'Danh mục'!$A$4:$C$13,3,FALSE),0))</f>
        <v/>
      </c>
      <c r="H84" s="7">
        <f>IF(F84="","",F84*G84)</f>
        <v/>
      </c>
      <c r="I84" s="8">
        <f>IF(F84="","",IF(F84&gt;=50,5%,IF(F84&gt;=20,2%,0)))</f>
        <v/>
      </c>
      <c r="J84" s="7">
        <f>IF(H84="","",ROUND(H84*I84,0))</f>
        <v/>
      </c>
      <c r="K84" s="7">
        <f>IF(H84="","",ROUND((H84-J84)*'Danh mục'!$F$3/100,0))</f>
        <v/>
      </c>
      <c r="L84" s="7">
        <f>IF(H84="","",H84-J84+K84)</f>
        <v/>
      </c>
      <c r="M84">
        <f>IF(A84="","",MONTH(A84))</f>
        <v/>
      </c>
    </row>
    <row r="85" spans="1:13">
      <c r="A85" s="6"/>
      <c r="B85" s="4"/>
      <c r="C85" s="4"/>
      <c r="D85" s="4"/>
      <c r="E85">
        <f>IF(D85="","",IFERROR(VLOOKUP(D85,'Danh mục'!$A$4:$C$13,2,FALSE),"Không rõ mã"))</f>
        <v/>
      </c>
      <c r="F85" s="3"/>
      <c r="G85" s="7">
        <f>IF(D85="","",IFERROR(VLOOKUP(D85,'Danh mục'!$A$4:$C$13,3,FALSE),0))</f>
        <v/>
      </c>
      <c r="H85" s="7">
        <f>IF(F85="","",F85*G85)</f>
        <v/>
      </c>
      <c r="I85" s="8">
        <f>IF(F85="","",IF(F85&gt;=50,5%,IF(F85&gt;=20,2%,0)))</f>
        <v/>
      </c>
      <c r="J85" s="7">
        <f>IF(H85="","",ROUND(H85*I85,0))</f>
        <v/>
      </c>
      <c r="K85" s="7">
        <f>IF(H85="","",ROUND((H85-J85)*'Danh mục'!$F$3/100,0))</f>
        <v/>
      </c>
      <c r="L85" s="7">
        <f>IF(H85="","",H85-J85+K85)</f>
        <v/>
      </c>
      <c r="M85">
        <f>IF(A85="","",MONTH(A85))</f>
        <v/>
      </c>
    </row>
    <row r="86" spans="1:13">
      <c r="A86" s="6"/>
      <c r="B86" s="4"/>
      <c r="C86" s="4"/>
      <c r="D86" s="4"/>
      <c r="E86">
        <f>IF(D86="","",IFERROR(VLOOKUP(D86,'Danh mục'!$A$4:$C$13,2,FALSE),"Không rõ mã"))</f>
        <v/>
      </c>
      <c r="F86" s="3"/>
      <c r="G86" s="7">
        <f>IF(D86="","",IFERROR(VLOOKUP(D86,'Danh mục'!$A$4:$C$13,3,FALSE),0))</f>
        <v/>
      </c>
      <c r="H86" s="7">
        <f>IF(F86="","",F86*G86)</f>
        <v/>
      </c>
      <c r="I86" s="8">
        <f>IF(F86="","",IF(F86&gt;=50,5%,IF(F86&gt;=20,2%,0)))</f>
        <v/>
      </c>
      <c r="J86" s="7">
        <f>IF(H86="","",ROUND(H86*I86,0))</f>
        <v/>
      </c>
      <c r="K86" s="7">
        <f>IF(H86="","",ROUND((H86-J86)*'Danh mục'!$F$3/100,0))</f>
        <v/>
      </c>
      <c r="L86" s="7">
        <f>IF(H86="","",H86-J86+K86)</f>
        <v/>
      </c>
      <c r="M86">
        <f>IF(A86="","",MONTH(A86))</f>
        <v/>
      </c>
    </row>
    <row r="87" spans="1:13">
      <c r="A87" s="6"/>
      <c r="B87" s="4"/>
      <c r="C87" s="4"/>
      <c r="D87" s="4"/>
      <c r="E87">
        <f>IF(D87="","",IFERROR(VLOOKUP(D87,'Danh mục'!$A$4:$C$13,2,FALSE),"Không rõ mã"))</f>
        <v/>
      </c>
      <c r="F87" s="3"/>
      <c r="G87" s="7">
        <f>IF(D87="","",IFERROR(VLOOKUP(D87,'Danh mục'!$A$4:$C$13,3,FALSE),0))</f>
        <v/>
      </c>
      <c r="H87" s="7">
        <f>IF(F87="","",F87*G87)</f>
        <v/>
      </c>
      <c r="I87" s="8">
        <f>IF(F87="","",IF(F87&gt;=50,5%,IF(F87&gt;=20,2%,0)))</f>
        <v/>
      </c>
      <c r="J87" s="7">
        <f>IF(H87="","",ROUND(H87*I87,0))</f>
        <v/>
      </c>
      <c r="K87" s="7">
        <f>IF(H87="","",ROUND((H87-J87)*'Danh mục'!$F$3/100,0))</f>
        <v/>
      </c>
      <c r="L87" s="7">
        <f>IF(H87="","",H87-J87+K87)</f>
        <v/>
      </c>
      <c r="M87">
        <f>IF(A87="","",MONTH(A87))</f>
        <v/>
      </c>
    </row>
    <row r="88" spans="1:13">
      <c r="A88" s="6"/>
      <c r="B88" s="4"/>
      <c r="C88" s="4"/>
      <c r="D88" s="4"/>
      <c r="E88">
        <f>IF(D88="","",IFERROR(VLOOKUP(D88,'Danh mục'!$A$4:$C$13,2,FALSE),"Không rõ mã"))</f>
        <v/>
      </c>
      <c r="F88" s="3"/>
      <c r="G88" s="7">
        <f>IF(D88="","",IFERROR(VLOOKUP(D88,'Danh mục'!$A$4:$C$13,3,FALSE),0))</f>
        <v/>
      </c>
      <c r="H88" s="7">
        <f>IF(F88="","",F88*G88)</f>
        <v/>
      </c>
      <c r="I88" s="8">
        <f>IF(F88="","",IF(F88&gt;=50,5%,IF(F88&gt;=20,2%,0)))</f>
        <v/>
      </c>
      <c r="J88" s="7">
        <f>IF(H88="","",ROUND(H88*I88,0))</f>
        <v/>
      </c>
      <c r="K88" s="7">
        <f>IF(H88="","",ROUND((H88-J88)*'Danh mục'!$F$3/100,0))</f>
        <v/>
      </c>
      <c r="L88" s="7">
        <f>IF(H88="","",H88-J88+K88)</f>
        <v/>
      </c>
      <c r="M88">
        <f>IF(A88="","",MONTH(A88))</f>
        <v/>
      </c>
    </row>
    <row r="89" spans="1:13">
      <c r="A89" s="6"/>
      <c r="B89" s="4"/>
      <c r="C89" s="4"/>
      <c r="D89" s="4"/>
      <c r="E89">
        <f>IF(D89="","",IFERROR(VLOOKUP(D89,'Danh mục'!$A$4:$C$13,2,FALSE),"Không rõ mã"))</f>
        <v/>
      </c>
      <c r="F89" s="3"/>
      <c r="G89" s="7">
        <f>IF(D89="","",IFERROR(VLOOKUP(D89,'Danh mục'!$A$4:$C$13,3,FALSE),0))</f>
        <v/>
      </c>
      <c r="H89" s="7">
        <f>IF(F89="","",F89*G89)</f>
        <v/>
      </c>
      <c r="I89" s="8">
        <f>IF(F89="","",IF(F89&gt;=50,5%,IF(F89&gt;=20,2%,0)))</f>
        <v/>
      </c>
      <c r="J89" s="7">
        <f>IF(H89="","",ROUND(H89*I89,0))</f>
        <v/>
      </c>
      <c r="K89" s="7">
        <f>IF(H89="","",ROUND((H89-J89)*'Danh mục'!$F$3/100,0))</f>
        <v/>
      </c>
      <c r="L89" s="7">
        <f>IF(H89="","",H89-J89+K89)</f>
        <v/>
      </c>
      <c r="M89">
        <f>IF(A89="","",MONTH(A89))</f>
        <v/>
      </c>
    </row>
    <row r="90" spans="1:13">
      <c r="A90" s="6"/>
      <c r="B90" s="4"/>
      <c r="C90" s="4"/>
      <c r="D90" s="4"/>
      <c r="E90">
        <f>IF(D90="","",IFERROR(VLOOKUP(D90,'Danh mục'!$A$4:$C$13,2,FALSE),"Không rõ mã"))</f>
        <v/>
      </c>
      <c r="F90" s="3"/>
      <c r="G90" s="7">
        <f>IF(D90="","",IFERROR(VLOOKUP(D90,'Danh mục'!$A$4:$C$13,3,FALSE),0))</f>
        <v/>
      </c>
      <c r="H90" s="7">
        <f>IF(F90="","",F90*G90)</f>
        <v/>
      </c>
      <c r="I90" s="8">
        <f>IF(F90="","",IF(F90&gt;=50,5%,IF(F90&gt;=20,2%,0)))</f>
        <v/>
      </c>
      <c r="J90" s="7">
        <f>IF(H90="","",ROUND(H90*I90,0))</f>
        <v/>
      </c>
      <c r="K90" s="7">
        <f>IF(H90="","",ROUND((H90-J90)*'Danh mục'!$F$3/100,0))</f>
        <v/>
      </c>
      <c r="L90" s="7">
        <f>IF(H90="","",H90-J90+K90)</f>
        <v/>
      </c>
      <c r="M90">
        <f>IF(A90="","",MONTH(A90))</f>
        <v/>
      </c>
    </row>
    <row r="91" spans="1:13">
      <c r="A91" s="6"/>
      <c r="B91" s="4"/>
      <c r="C91" s="4"/>
      <c r="D91" s="4"/>
      <c r="E91">
        <f>IF(D91="","",IFERROR(VLOOKUP(D91,'Danh mục'!$A$4:$C$13,2,FALSE),"Không rõ mã"))</f>
        <v/>
      </c>
      <c r="F91" s="3"/>
      <c r="G91" s="7">
        <f>IF(D91="","",IFERROR(VLOOKUP(D91,'Danh mục'!$A$4:$C$13,3,FALSE),0))</f>
        <v/>
      </c>
      <c r="H91" s="7">
        <f>IF(F91="","",F91*G91)</f>
        <v/>
      </c>
      <c r="I91" s="8">
        <f>IF(F91="","",IF(F91&gt;=50,5%,IF(F91&gt;=20,2%,0)))</f>
        <v/>
      </c>
      <c r="J91" s="7">
        <f>IF(H91="","",ROUND(H91*I91,0))</f>
        <v/>
      </c>
      <c r="K91" s="7">
        <f>IF(H91="","",ROUND((H91-J91)*'Danh mục'!$F$3/100,0))</f>
        <v/>
      </c>
      <c r="L91" s="7">
        <f>IF(H91="","",H91-J91+K91)</f>
        <v/>
      </c>
      <c r="M91">
        <f>IF(A91="","",MONTH(A91))</f>
        <v/>
      </c>
    </row>
    <row r="92" spans="1:13">
      <c r="A92" s="6"/>
      <c r="B92" s="4"/>
      <c r="C92" s="4"/>
      <c r="D92" s="4"/>
      <c r="E92">
        <f>IF(D92="","",IFERROR(VLOOKUP(D92,'Danh mục'!$A$4:$C$13,2,FALSE),"Không rõ mã"))</f>
        <v/>
      </c>
      <c r="F92" s="3"/>
      <c r="G92" s="7">
        <f>IF(D92="","",IFERROR(VLOOKUP(D92,'Danh mục'!$A$4:$C$13,3,FALSE),0))</f>
        <v/>
      </c>
      <c r="H92" s="7">
        <f>IF(F92="","",F92*G92)</f>
        <v/>
      </c>
      <c r="I92" s="8">
        <f>IF(F92="","",IF(F92&gt;=50,5%,IF(F92&gt;=20,2%,0)))</f>
        <v/>
      </c>
      <c r="J92" s="7">
        <f>IF(H92="","",ROUND(H92*I92,0))</f>
        <v/>
      </c>
      <c r="K92" s="7">
        <f>IF(H92="","",ROUND((H92-J92)*'Danh mục'!$F$3/100,0))</f>
        <v/>
      </c>
      <c r="L92" s="7">
        <f>IF(H92="","",H92-J92+K92)</f>
        <v/>
      </c>
      <c r="M92">
        <f>IF(A92="","",MONTH(A92))</f>
        <v/>
      </c>
    </row>
    <row r="93" spans="1:13">
      <c r="A93" s="6"/>
      <c r="B93" s="4"/>
      <c r="C93" s="4"/>
      <c r="D93" s="4"/>
      <c r="E93">
        <f>IF(D93="","",IFERROR(VLOOKUP(D93,'Danh mục'!$A$4:$C$13,2,FALSE),"Không rõ mã"))</f>
        <v/>
      </c>
      <c r="F93" s="3"/>
      <c r="G93" s="7">
        <f>IF(D93="","",IFERROR(VLOOKUP(D93,'Danh mục'!$A$4:$C$13,3,FALSE),0))</f>
        <v/>
      </c>
      <c r="H93" s="7">
        <f>IF(F93="","",F93*G93)</f>
        <v/>
      </c>
      <c r="I93" s="8">
        <f>IF(F93="","",IF(F93&gt;=50,5%,IF(F93&gt;=20,2%,0)))</f>
        <v/>
      </c>
      <c r="J93" s="7">
        <f>IF(H93="","",ROUND(H93*I93,0))</f>
        <v/>
      </c>
      <c r="K93" s="7">
        <f>IF(H93="","",ROUND((H93-J93)*'Danh mục'!$F$3/100,0))</f>
        <v/>
      </c>
      <c r="L93" s="7">
        <f>IF(H93="","",H93-J93+K93)</f>
        <v/>
      </c>
      <c r="M93">
        <f>IF(A93="","",MONTH(A93))</f>
        <v/>
      </c>
    </row>
    <row r="94" spans="1:13">
      <c r="A94" s="6"/>
      <c r="B94" s="4"/>
      <c r="C94" s="4"/>
      <c r="D94" s="4"/>
      <c r="E94">
        <f>IF(D94="","",IFERROR(VLOOKUP(D94,'Danh mục'!$A$4:$C$13,2,FALSE),"Không rõ mã"))</f>
        <v/>
      </c>
      <c r="F94" s="3"/>
      <c r="G94" s="7">
        <f>IF(D94="","",IFERROR(VLOOKUP(D94,'Danh mục'!$A$4:$C$13,3,FALSE),0))</f>
        <v/>
      </c>
      <c r="H94" s="7">
        <f>IF(F94="","",F94*G94)</f>
        <v/>
      </c>
      <c r="I94" s="8">
        <f>IF(F94="","",IF(F94&gt;=50,5%,IF(F94&gt;=20,2%,0)))</f>
        <v/>
      </c>
      <c r="J94" s="7">
        <f>IF(H94="","",ROUND(H94*I94,0))</f>
        <v/>
      </c>
      <c r="K94" s="7">
        <f>IF(H94="","",ROUND((H94-J94)*'Danh mục'!$F$3/100,0))</f>
        <v/>
      </c>
      <c r="L94" s="7">
        <f>IF(H94="","",H94-J94+K94)</f>
        <v/>
      </c>
      <c r="M94">
        <f>IF(A94="","",MONTH(A94))</f>
        <v/>
      </c>
    </row>
    <row r="95" spans="1:13">
      <c r="A95" s="6"/>
      <c r="B95" s="4"/>
      <c r="C95" s="4"/>
      <c r="D95" s="4"/>
      <c r="E95">
        <f>IF(D95="","",IFERROR(VLOOKUP(D95,'Danh mục'!$A$4:$C$13,2,FALSE),"Không rõ mã"))</f>
        <v/>
      </c>
      <c r="F95" s="3"/>
      <c r="G95" s="7">
        <f>IF(D95="","",IFERROR(VLOOKUP(D95,'Danh mục'!$A$4:$C$13,3,FALSE),0))</f>
        <v/>
      </c>
      <c r="H95" s="7">
        <f>IF(F95="","",F95*G95)</f>
        <v/>
      </c>
      <c r="I95" s="8">
        <f>IF(F95="","",IF(F95&gt;=50,5%,IF(F95&gt;=20,2%,0)))</f>
        <v/>
      </c>
      <c r="J95" s="7">
        <f>IF(H95="","",ROUND(H95*I95,0))</f>
        <v/>
      </c>
      <c r="K95" s="7">
        <f>IF(H95="","",ROUND((H95-J95)*'Danh mục'!$F$3/100,0))</f>
        <v/>
      </c>
      <c r="L95" s="7">
        <f>IF(H95="","",H95-J95+K95)</f>
        <v/>
      </c>
      <c r="M95">
        <f>IF(A95="","",MONTH(A95))</f>
        <v/>
      </c>
    </row>
    <row r="96" spans="1:13">
      <c r="A96" s="6"/>
      <c r="B96" s="4"/>
      <c r="C96" s="4"/>
      <c r="D96" s="4"/>
      <c r="E96">
        <f>IF(D96="","",IFERROR(VLOOKUP(D96,'Danh mục'!$A$4:$C$13,2,FALSE),"Không rõ mã"))</f>
        <v/>
      </c>
      <c r="F96" s="3"/>
      <c r="G96" s="7">
        <f>IF(D96="","",IFERROR(VLOOKUP(D96,'Danh mục'!$A$4:$C$13,3,FALSE),0))</f>
        <v/>
      </c>
      <c r="H96" s="7">
        <f>IF(F96="","",F96*G96)</f>
        <v/>
      </c>
      <c r="I96" s="8">
        <f>IF(F96="","",IF(F96&gt;=50,5%,IF(F96&gt;=20,2%,0)))</f>
        <v/>
      </c>
      <c r="J96" s="7">
        <f>IF(H96="","",ROUND(H96*I96,0))</f>
        <v/>
      </c>
      <c r="K96" s="7">
        <f>IF(H96="","",ROUND((H96-J96)*'Danh mục'!$F$3/100,0))</f>
        <v/>
      </c>
      <c r="L96" s="7">
        <f>IF(H96="","",H96-J96+K96)</f>
        <v/>
      </c>
      <c r="M96">
        <f>IF(A96="","",MONTH(A96))</f>
        <v/>
      </c>
    </row>
    <row r="97" spans="1:13">
      <c r="A97" s="6"/>
      <c r="B97" s="4"/>
      <c r="C97" s="4"/>
      <c r="D97" s="4"/>
      <c r="E97">
        <f>IF(D97="","",IFERROR(VLOOKUP(D97,'Danh mục'!$A$4:$C$13,2,FALSE),"Không rõ mã"))</f>
        <v/>
      </c>
      <c r="F97" s="3"/>
      <c r="G97" s="7">
        <f>IF(D97="","",IFERROR(VLOOKUP(D97,'Danh mục'!$A$4:$C$13,3,FALSE),0))</f>
        <v/>
      </c>
      <c r="H97" s="7">
        <f>IF(F97="","",F97*G97)</f>
        <v/>
      </c>
      <c r="I97" s="8">
        <f>IF(F97="","",IF(F97&gt;=50,5%,IF(F97&gt;=20,2%,0)))</f>
        <v/>
      </c>
      <c r="J97" s="7">
        <f>IF(H97="","",ROUND(H97*I97,0))</f>
        <v/>
      </c>
      <c r="K97" s="7">
        <f>IF(H97="","",ROUND((H97-J97)*'Danh mục'!$F$3/100,0))</f>
        <v/>
      </c>
      <c r="L97" s="7">
        <f>IF(H97="","",H97-J97+K97)</f>
        <v/>
      </c>
      <c r="M97">
        <f>IF(A97="","",MONTH(A97))</f>
        <v/>
      </c>
    </row>
    <row r="98" spans="1:13">
      <c r="A98" s="6"/>
      <c r="B98" s="4"/>
      <c r="C98" s="4"/>
      <c r="D98" s="4"/>
      <c r="E98">
        <f>IF(D98="","",IFERROR(VLOOKUP(D98,'Danh mục'!$A$4:$C$13,2,FALSE),"Không rõ mã"))</f>
        <v/>
      </c>
      <c r="F98" s="3"/>
      <c r="G98" s="7">
        <f>IF(D98="","",IFERROR(VLOOKUP(D98,'Danh mục'!$A$4:$C$13,3,FALSE),0))</f>
        <v/>
      </c>
      <c r="H98" s="7">
        <f>IF(F98="","",F98*G98)</f>
        <v/>
      </c>
      <c r="I98" s="8">
        <f>IF(F98="","",IF(F98&gt;=50,5%,IF(F98&gt;=20,2%,0)))</f>
        <v/>
      </c>
      <c r="J98" s="7">
        <f>IF(H98="","",ROUND(H98*I98,0))</f>
        <v/>
      </c>
      <c r="K98" s="7">
        <f>IF(H98="","",ROUND((H98-J98)*'Danh mục'!$F$3/100,0))</f>
        <v/>
      </c>
      <c r="L98" s="7">
        <f>IF(H98="","",H98-J98+K98)</f>
        <v/>
      </c>
      <c r="M98">
        <f>IF(A98="","",MONTH(A98))</f>
        <v/>
      </c>
    </row>
    <row r="99" spans="1:13">
      <c r="A99" s="6"/>
      <c r="B99" s="4"/>
      <c r="C99" s="4"/>
      <c r="D99" s="4"/>
      <c r="E99">
        <f>IF(D99="","",IFERROR(VLOOKUP(D99,'Danh mục'!$A$4:$C$13,2,FALSE),"Không rõ mã"))</f>
        <v/>
      </c>
      <c r="F99" s="3"/>
      <c r="G99" s="7">
        <f>IF(D99="","",IFERROR(VLOOKUP(D99,'Danh mục'!$A$4:$C$13,3,FALSE),0))</f>
        <v/>
      </c>
      <c r="H99" s="7">
        <f>IF(F99="","",F99*G99)</f>
        <v/>
      </c>
      <c r="I99" s="8">
        <f>IF(F99="","",IF(F99&gt;=50,5%,IF(F99&gt;=20,2%,0)))</f>
        <v/>
      </c>
      <c r="J99" s="7">
        <f>IF(H99="","",ROUND(H99*I99,0))</f>
        <v/>
      </c>
      <c r="K99" s="7">
        <f>IF(H99="","",ROUND((H99-J99)*'Danh mục'!$F$3/100,0))</f>
        <v/>
      </c>
      <c r="L99" s="7">
        <f>IF(H99="","",H99-J99+K99)</f>
        <v/>
      </c>
      <c r="M99">
        <f>IF(A99="","",MONTH(A99))</f>
        <v/>
      </c>
    </row>
    <row r="100" spans="1:13">
      <c r="A100" s="6"/>
      <c r="B100" s="4"/>
      <c r="C100" s="4"/>
      <c r="D100" s="4"/>
      <c r="E100">
        <f>IF(D100="","",IFERROR(VLOOKUP(D100,'Danh mục'!$A$4:$C$13,2,FALSE),"Không rõ mã"))</f>
        <v/>
      </c>
      <c r="F100" s="3"/>
      <c r="G100" s="7">
        <f>IF(D100="","",IFERROR(VLOOKUP(D100,'Danh mục'!$A$4:$C$13,3,FALSE),0))</f>
        <v/>
      </c>
      <c r="H100" s="7">
        <f>IF(F100="","",F100*G100)</f>
        <v/>
      </c>
      <c r="I100" s="8">
        <f>IF(F100="","",IF(F100&gt;=50,5%,IF(F100&gt;=20,2%,0)))</f>
        <v/>
      </c>
      <c r="J100" s="7">
        <f>IF(H100="","",ROUND(H100*I100,0))</f>
        <v/>
      </c>
      <c r="K100" s="7">
        <f>IF(H100="","",ROUND((H100-J100)*'Danh mục'!$F$3/100,0))</f>
        <v/>
      </c>
      <c r="L100" s="7">
        <f>IF(H100="","",H100-J100+K100)</f>
        <v/>
      </c>
      <c r="M100">
        <f>IF(A100="","",MONTH(A100))</f>
        <v/>
      </c>
    </row>
    <row r="101" spans="1:13">
      <c r="A101" s="6"/>
      <c r="B101" s="4"/>
      <c r="C101" s="4"/>
      <c r="D101" s="4"/>
      <c r="E101">
        <f>IF(D101="","",IFERROR(VLOOKUP(D101,'Danh mục'!$A$4:$C$13,2,FALSE),"Không rõ mã"))</f>
        <v/>
      </c>
      <c r="F101" s="3"/>
      <c r="G101" s="7">
        <f>IF(D101="","",IFERROR(VLOOKUP(D101,'Danh mục'!$A$4:$C$13,3,FALSE),0))</f>
        <v/>
      </c>
      <c r="H101" s="7">
        <f>IF(F101="","",F101*G101)</f>
        <v/>
      </c>
      <c r="I101" s="8">
        <f>IF(F101="","",IF(F101&gt;=50,5%,IF(F101&gt;=20,2%,0)))</f>
        <v/>
      </c>
      <c r="J101" s="7">
        <f>IF(H101="","",ROUND(H101*I101,0))</f>
        <v/>
      </c>
      <c r="K101" s="7">
        <f>IF(H101="","",ROUND((H101-J101)*'Danh mục'!$F$3/100,0))</f>
        <v/>
      </c>
      <c r="L101" s="7">
        <f>IF(H101="","",H101-J101+K101)</f>
        <v/>
      </c>
      <c r="M101">
        <f>IF(A101="","",MONTH(A101))</f>
        <v/>
      </c>
    </row>
    <row r="102" spans="1:13">
      <c r="A102" s="6"/>
      <c r="B102" s="4"/>
      <c r="C102" s="4"/>
      <c r="D102" s="4"/>
      <c r="E102">
        <f>IF(D102="","",IFERROR(VLOOKUP(D102,'Danh mục'!$A$4:$C$13,2,FALSE),"Không rõ mã"))</f>
        <v/>
      </c>
      <c r="F102" s="3"/>
      <c r="G102" s="7">
        <f>IF(D102="","",IFERROR(VLOOKUP(D102,'Danh mục'!$A$4:$C$13,3,FALSE),0))</f>
        <v/>
      </c>
      <c r="H102" s="7">
        <f>IF(F102="","",F102*G102)</f>
        <v/>
      </c>
      <c r="I102" s="8">
        <f>IF(F102="","",IF(F102&gt;=50,5%,IF(F102&gt;=20,2%,0)))</f>
        <v/>
      </c>
      <c r="J102" s="7">
        <f>IF(H102="","",ROUND(H102*I102,0))</f>
        <v/>
      </c>
      <c r="K102" s="7">
        <f>IF(H102="","",ROUND((H102-J102)*'Danh mục'!$F$3/100,0))</f>
        <v/>
      </c>
      <c r="L102" s="7">
        <f>IF(H102="","",H102-J102+K102)</f>
        <v/>
      </c>
      <c r="M102">
        <f>IF(A102="","",MONTH(A102))</f>
        <v/>
      </c>
    </row>
    <row r="103" spans="1:13">
      <c r="A103" s="6"/>
      <c r="B103" s="4"/>
      <c r="C103" s="4"/>
      <c r="D103" s="4"/>
      <c r="E103">
        <f>IF(D103="","",IFERROR(VLOOKUP(D103,'Danh mục'!$A$4:$C$13,2,FALSE),"Không rõ mã"))</f>
        <v/>
      </c>
      <c r="F103" s="3"/>
      <c r="G103" s="7">
        <f>IF(D103="","",IFERROR(VLOOKUP(D103,'Danh mục'!$A$4:$C$13,3,FALSE),0))</f>
        <v/>
      </c>
      <c r="H103" s="7">
        <f>IF(F103="","",F103*G103)</f>
        <v/>
      </c>
      <c r="I103" s="8">
        <f>IF(F103="","",IF(F103&gt;=50,5%,IF(F103&gt;=20,2%,0)))</f>
        <v/>
      </c>
      <c r="J103" s="7">
        <f>IF(H103="","",ROUND(H103*I103,0))</f>
        <v/>
      </c>
      <c r="K103" s="7">
        <f>IF(H103="","",ROUND((H103-J103)*'Danh mục'!$F$3/100,0))</f>
        <v/>
      </c>
      <c r="L103" s="7">
        <f>IF(H103="","",H103-J103+K103)</f>
        <v/>
      </c>
      <c r="M103">
        <f>IF(A103="","",MONTH(A103))</f>
        <v/>
      </c>
    </row>
    <row r="104" spans="1:13">
      <c r="A104" s="6"/>
      <c r="B104" s="4"/>
      <c r="C104" s="4"/>
      <c r="D104" s="4"/>
      <c r="E104">
        <f>IF(D104="","",IFERROR(VLOOKUP(D104,'Danh mục'!$A$4:$C$13,2,FALSE),"Không rõ mã"))</f>
        <v/>
      </c>
      <c r="F104" s="3"/>
      <c r="G104" s="7">
        <f>IF(D104="","",IFERROR(VLOOKUP(D104,'Danh mục'!$A$4:$C$13,3,FALSE),0))</f>
        <v/>
      </c>
      <c r="H104" s="7">
        <f>IF(F104="","",F104*G104)</f>
        <v/>
      </c>
      <c r="I104" s="8">
        <f>IF(F104="","",IF(F104&gt;=50,5%,IF(F104&gt;=20,2%,0)))</f>
        <v/>
      </c>
      <c r="J104" s="7">
        <f>IF(H104="","",ROUND(H104*I104,0))</f>
        <v/>
      </c>
      <c r="K104" s="7">
        <f>IF(H104="","",ROUND((H104-J104)*'Danh mục'!$F$3/100,0))</f>
        <v/>
      </c>
      <c r="L104" s="7">
        <f>IF(H104="","",H104-J104+K104)</f>
        <v/>
      </c>
      <c r="M104">
        <f>IF(A104="","",MONTH(A104))</f>
        <v/>
      </c>
    </row>
    <row r="105" spans="1:13">
      <c r="A105" s="6"/>
      <c r="B105" s="4"/>
      <c r="C105" s="4"/>
      <c r="D105" s="4"/>
      <c r="E105">
        <f>IF(D105="","",IFERROR(VLOOKUP(D105,'Danh mục'!$A$4:$C$13,2,FALSE),"Không rõ mã"))</f>
        <v/>
      </c>
      <c r="F105" s="3"/>
      <c r="G105" s="7">
        <f>IF(D105="","",IFERROR(VLOOKUP(D105,'Danh mục'!$A$4:$C$13,3,FALSE),0))</f>
        <v/>
      </c>
      <c r="H105" s="7">
        <f>IF(F105="","",F105*G105)</f>
        <v/>
      </c>
      <c r="I105" s="8">
        <f>IF(F105="","",IF(F105&gt;=50,5%,IF(F105&gt;=20,2%,0)))</f>
        <v/>
      </c>
      <c r="J105" s="7">
        <f>IF(H105="","",ROUND(H105*I105,0))</f>
        <v/>
      </c>
      <c r="K105" s="7">
        <f>IF(H105="","",ROUND((H105-J105)*'Danh mục'!$F$3/100,0))</f>
        <v/>
      </c>
      <c r="L105" s="7">
        <f>IF(H105="","",H105-J105+K105)</f>
        <v/>
      </c>
      <c r="M105">
        <f>IF(A105="","",MONTH(A105))</f>
        <v/>
      </c>
    </row>
    <row r="106" spans="1:13">
      <c r="A106" s="6"/>
      <c r="B106" s="4"/>
      <c r="C106" s="4"/>
      <c r="D106" s="4"/>
      <c r="E106">
        <f>IF(D106="","",IFERROR(VLOOKUP(D106,'Danh mục'!$A$4:$C$13,2,FALSE),"Không rõ mã"))</f>
        <v/>
      </c>
      <c r="F106" s="3"/>
      <c r="G106" s="7">
        <f>IF(D106="","",IFERROR(VLOOKUP(D106,'Danh mục'!$A$4:$C$13,3,FALSE),0))</f>
        <v/>
      </c>
      <c r="H106" s="7">
        <f>IF(F106="","",F106*G106)</f>
        <v/>
      </c>
      <c r="I106" s="8">
        <f>IF(F106="","",IF(F106&gt;=50,5%,IF(F106&gt;=20,2%,0)))</f>
        <v/>
      </c>
      <c r="J106" s="7">
        <f>IF(H106="","",ROUND(H106*I106,0))</f>
        <v/>
      </c>
      <c r="K106" s="7">
        <f>IF(H106="","",ROUND((H106-J106)*'Danh mục'!$F$3/100,0))</f>
        <v/>
      </c>
      <c r="L106" s="7">
        <f>IF(H106="","",H106-J106+K106)</f>
        <v/>
      </c>
      <c r="M106">
        <f>IF(A106="","",MONTH(A106))</f>
        <v/>
      </c>
    </row>
    <row r="107" spans="1:13">
      <c r="A107" s="6"/>
      <c r="B107" s="4"/>
      <c r="C107" s="4"/>
      <c r="D107" s="4"/>
      <c r="E107">
        <f>IF(D107="","",IFERROR(VLOOKUP(D107,'Danh mục'!$A$4:$C$13,2,FALSE),"Không rõ mã"))</f>
        <v/>
      </c>
      <c r="F107" s="3"/>
      <c r="G107" s="7">
        <f>IF(D107="","",IFERROR(VLOOKUP(D107,'Danh mục'!$A$4:$C$13,3,FALSE),0))</f>
        <v/>
      </c>
      <c r="H107" s="7">
        <f>IF(F107="","",F107*G107)</f>
        <v/>
      </c>
      <c r="I107" s="8">
        <f>IF(F107="","",IF(F107&gt;=50,5%,IF(F107&gt;=20,2%,0)))</f>
        <v/>
      </c>
      <c r="J107" s="7">
        <f>IF(H107="","",ROUND(H107*I107,0))</f>
        <v/>
      </c>
      <c r="K107" s="7">
        <f>IF(H107="","",ROUND((H107-J107)*'Danh mục'!$F$3/100,0))</f>
        <v/>
      </c>
      <c r="L107" s="7">
        <f>IF(H107="","",H107-J107+K107)</f>
        <v/>
      </c>
      <c r="M107">
        <f>IF(A107="","",MONTH(A107))</f>
        <v/>
      </c>
    </row>
    <row r="108" spans="1:13">
      <c r="A108" s="6"/>
      <c r="B108" s="4"/>
      <c r="C108" s="4"/>
      <c r="D108" s="4"/>
      <c r="E108">
        <f>IF(D108="","",IFERROR(VLOOKUP(D108,'Danh mục'!$A$4:$C$13,2,FALSE),"Không rõ mã"))</f>
        <v/>
      </c>
      <c r="F108" s="3"/>
      <c r="G108" s="7">
        <f>IF(D108="","",IFERROR(VLOOKUP(D108,'Danh mục'!$A$4:$C$13,3,FALSE),0))</f>
        <v/>
      </c>
      <c r="H108" s="7">
        <f>IF(F108="","",F108*G108)</f>
        <v/>
      </c>
      <c r="I108" s="8">
        <f>IF(F108="","",IF(F108&gt;=50,5%,IF(F108&gt;=20,2%,0)))</f>
        <v/>
      </c>
      <c r="J108" s="7">
        <f>IF(H108="","",ROUND(H108*I108,0))</f>
        <v/>
      </c>
      <c r="K108" s="7">
        <f>IF(H108="","",ROUND((H108-J108)*'Danh mục'!$F$3/100,0))</f>
        <v/>
      </c>
      <c r="L108" s="7">
        <f>IF(H108="","",H108-J108+K108)</f>
        <v/>
      </c>
      <c r="M108">
        <f>IF(A108="","",MONTH(A108))</f>
        <v/>
      </c>
    </row>
    <row r="109" spans="1:13">
      <c r="A109" s="6"/>
      <c r="B109" s="4"/>
      <c r="C109" s="4"/>
      <c r="D109" s="4"/>
      <c r="E109">
        <f>IF(D109="","",IFERROR(VLOOKUP(D109,'Danh mục'!$A$4:$C$13,2,FALSE),"Không rõ mã"))</f>
        <v/>
      </c>
      <c r="F109" s="3"/>
      <c r="G109" s="7">
        <f>IF(D109="","",IFERROR(VLOOKUP(D109,'Danh mục'!$A$4:$C$13,3,FALSE),0))</f>
        <v/>
      </c>
      <c r="H109" s="7">
        <f>IF(F109="","",F109*G109)</f>
        <v/>
      </c>
      <c r="I109" s="8">
        <f>IF(F109="","",IF(F109&gt;=50,5%,IF(F109&gt;=20,2%,0)))</f>
        <v/>
      </c>
      <c r="J109" s="7">
        <f>IF(H109="","",ROUND(H109*I109,0))</f>
        <v/>
      </c>
      <c r="K109" s="7">
        <f>IF(H109="","",ROUND((H109-J109)*'Danh mục'!$F$3/100,0))</f>
        <v/>
      </c>
      <c r="L109" s="7">
        <f>IF(H109="","",H109-J109+K109)</f>
        <v/>
      </c>
      <c r="M109">
        <f>IF(A109="","",MONTH(A109))</f>
        <v/>
      </c>
    </row>
    <row r="110" spans="1:13">
      <c r="A110" s="6"/>
      <c r="B110" s="4"/>
      <c r="C110" s="4"/>
      <c r="D110" s="4"/>
      <c r="E110">
        <f>IF(D110="","",IFERROR(VLOOKUP(D110,'Danh mục'!$A$4:$C$13,2,FALSE),"Không rõ mã"))</f>
        <v/>
      </c>
      <c r="F110" s="3"/>
      <c r="G110" s="7">
        <f>IF(D110="","",IFERROR(VLOOKUP(D110,'Danh mục'!$A$4:$C$13,3,FALSE),0))</f>
        <v/>
      </c>
      <c r="H110" s="7">
        <f>IF(F110="","",F110*G110)</f>
        <v/>
      </c>
      <c r="I110" s="8">
        <f>IF(F110="","",IF(F110&gt;=50,5%,IF(F110&gt;=20,2%,0)))</f>
        <v/>
      </c>
      <c r="J110" s="7">
        <f>IF(H110="","",ROUND(H110*I110,0))</f>
        <v/>
      </c>
      <c r="K110" s="7">
        <f>IF(H110="","",ROUND((H110-J110)*'Danh mục'!$F$3/100,0))</f>
        <v/>
      </c>
      <c r="L110" s="7">
        <f>IF(H110="","",H110-J110+K110)</f>
        <v/>
      </c>
      <c r="M110">
        <f>IF(A110="","",MONTH(A110))</f>
        <v/>
      </c>
    </row>
    <row r="111" spans="1:13">
      <c r="A111" s="6"/>
      <c r="B111" s="4"/>
      <c r="C111" s="4"/>
      <c r="D111" s="4"/>
      <c r="E111">
        <f>IF(D111="","",IFERROR(VLOOKUP(D111,'Danh mục'!$A$4:$C$13,2,FALSE),"Không rõ mã"))</f>
        <v/>
      </c>
      <c r="F111" s="3"/>
      <c r="G111" s="7">
        <f>IF(D111="","",IFERROR(VLOOKUP(D111,'Danh mục'!$A$4:$C$13,3,FALSE),0))</f>
        <v/>
      </c>
      <c r="H111" s="7">
        <f>IF(F111="","",F111*G111)</f>
        <v/>
      </c>
      <c r="I111" s="8">
        <f>IF(F111="","",IF(F111&gt;=50,5%,IF(F111&gt;=20,2%,0)))</f>
        <v/>
      </c>
      <c r="J111" s="7">
        <f>IF(H111="","",ROUND(H111*I111,0))</f>
        <v/>
      </c>
      <c r="K111" s="7">
        <f>IF(H111="","",ROUND((H111-J111)*'Danh mục'!$F$3/100,0))</f>
        <v/>
      </c>
      <c r="L111" s="7">
        <f>IF(H111="","",H111-J111+K111)</f>
        <v/>
      </c>
      <c r="M111">
        <f>IF(A111="","",MONTH(A111))</f>
        <v/>
      </c>
    </row>
    <row r="112" spans="1:13">
      <c r="A112" s="6"/>
      <c r="B112" s="4"/>
      <c r="C112" s="4"/>
      <c r="D112" s="4"/>
      <c r="E112">
        <f>IF(D112="","",IFERROR(VLOOKUP(D112,'Danh mục'!$A$4:$C$13,2,FALSE),"Không rõ mã"))</f>
        <v/>
      </c>
      <c r="F112" s="3"/>
      <c r="G112" s="7">
        <f>IF(D112="","",IFERROR(VLOOKUP(D112,'Danh mục'!$A$4:$C$13,3,FALSE),0))</f>
        <v/>
      </c>
      <c r="H112" s="7">
        <f>IF(F112="","",F112*G112)</f>
        <v/>
      </c>
      <c r="I112" s="8">
        <f>IF(F112="","",IF(F112&gt;=50,5%,IF(F112&gt;=20,2%,0)))</f>
        <v/>
      </c>
      <c r="J112" s="7">
        <f>IF(H112="","",ROUND(H112*I112,0))</f>
        <v/>
      </c>
      <c r="K112" s="7">
        <f>IF(H112="","",ROUND((H112-J112)*'Danh mục'!$F$3/100,0))</f>
        <v/>
      </c>
      <c r="L112" s="7">
        <f>IF(H112="","",H112-J112+K112)</f>
        <v/>
      </c>
      <c r="M112">
        <f>IF(A112="","",MONTH(A112))</f>
        <v/>
      </c>
    </row>
    <row r="113" spans="1:13">
      <c r="A113" s="6"/>
      <c r="B113" s="4"/>
      <c r="C113" s="4"/>
      <c r="D113" s="4"/>
      <c r="E113">
        <f>IF(D113="","",IFERROR(VLOOKUP(D113,'Danh mục'!$A$4:$C$13,2,FALSE),"Không rõ mã"))</f>
        <v/>
      </c>
      <c r="F113" s="3"/>
      <c r="G113" s="7">
        <f>IF(D113="","",IFERROR(VLOOKUP(D113,'Danh mục'!$A$4:$C$13,3,FALSE),0))</f>
        <v/>
      </c>
      <c r="H113" s="7">
        <f>IF(F113="","",F113*G113)</f>
        <v/>
      </c>
      <c r="I113" s="8">
        <f>IF(F113="","",IF(F113&gt;=50,5%,IF(F113&gt;=20,2%,0)))</f>
        <v/>
      </c>
      <c r="J113" s="7">
        <f>IF(H113="","",ROUND(H113*I113,0))</f>
        <v/>
      </c>
      <c r="K113" s="7">
        <f>IF(H113="","",ROUND((H113-J113)*'Danh mục'!$F$3/100,0))</f>
        <v/>
      </c>
      <c r="L113" s="7">
        <f>IF(H113="","",H113-J113+K113)</f>
        <v/>
      </c>
      <c r="M113">
        <f>IF(A113="","",MONTH(A113))</f>
        <v/>
      </c>
    </row>
    <row r="114" spans="1:13">
      <c r="A114" s="6"/>
      <c r="B114" s="4"/>
      <c r="C114" s="4"/>
      <c r="D114" s="4"/>
      <c r="E114">
        <f>IF(D114="","",IFERROR(VLOOKUP(D114,'Danh mục'!$A$4:$C$13,2,FALSE),"Không rõ mã"))</f>
        <v/>
      </c>
      <c r="F114" s="3"/>
      <c r="G114" s="7">
        <f>IF(D114="","",IFERROR(VLOOKUP(D114,'Danh mục'!$A$4:$C$13,3,FALSE),0))</f>
        <v/>
      </c>
      <c r="H114" s="7">
        <f>IF(F114="","",F114*G114)</f>
        <v/>
      </c>
      <c r="I114" s="8">
        <f>IF(F114="","",IF(F114&gt;=50,5%,IF(F114&gt;=20,2%,0)))</f>
        <v/>
      </c>
      <c r="J114" s="7">
        <f>IF(H114="","",ROUND(H114*I114,0))</f>
        <v/>
      </c>
      <c r="K114" s="7">
        <f>IF(H114="","",ROUND((H114-J114)*'Danh mục'!$F$3/100,0))</f>
        <v/>
      </c>
      <c r="L114" s="7">
        <f>IF(H114="","",H114-J114+K114)</f>
        <v/>
      </c>
      <c r="M114">
        <f>IF(A114="","",MONTH(A114))</f>
        <v/>
      </c>
    </row>
    <row r="115" spans="1:13">
      <c r="A115" s="6"/>
      <c r="B115" s="4"/>
      <c r="C115" s="4"/>
      <c r="D115" s="4"/>
      <c r="E115">
        <f>IF(D115="","",IFERROR(VLOOKUP(D115,'Danh mục'!$A$4:$C$13,2,FALSE),"Không rõ mã"))</f>
        <v/>
      </c>
      <c r="F115" s="3"/>
      <c r="G115" s="7">
        <f>IF(D115="","",IFERROR(VLOOKUP(D115,'Danh mục'!$A$4:$C$13,3,FALSE),0))</f>
        <v/>
      </c>
      <c r="H115" s="7">
        <f>IF(F115="","",F115*G115)</f>
        <v/>
      </c>
      <c r="I115" s="8">
        <f>IF(F115="","",IF(F115&gt;=50,5%,IF(F115&gt;=20,2%,0)))</f>
        <v/>
      </c>
      <c r="J115" s="7">
        <f>IF(H115="","",ROUND(H115*I115,0))</f>
        <v/>
      </c>
      <c r="K115" s="7">
        <f>IF(H115="","",ROUND((H115-J115)*'Danh mục'!$F$3/100,0))</f>
        <v/>
      </c>
      <c r="L115" s="7">
        <f>IF(H115="","",H115-J115+K115)</f>
        <v/>
      </c>
      <c r="M115">
        <f>IF(A115="","",MONTH(A115))</f>
        <v/>
      </c>
    </row>
    <row r="116" spans="1:13">
      <c r="A116" s="6"/>
      <c r="B116" s="4"/>
      <c r="C116" s="4"/>
      <c r="D116" s="4"/>
      <c r="E116">
        <f>IF(D116="","",IFERROR(VLOOKUP(D116,'Danh mục'!$A$4:$C$13,2,FALSE),"Không rõ mã"))</f>
        <v/>
      </c>
      <c r="F116" s="3"/>
      <c r="G116" s="7">
        <f>IF(D116="","",IFERROR(VLOOKUP(D116,'Danh mục'!$A$4:$C$13,3,FALSE),0))</f>
        <v/>
      </c>
      <c r="H116" s="7">
        <f>IF(F116="","",F116*G116)</f>
        <v/>
      </c>
      <c r="I116" s="8">
        <f>IF(F116="","",IF(F116&gt;=50,5%,IF(F116&gt;=20,2%,0)))</f>
        <v/>
      </c>
      <c r="J116" s="7">
        <f>IF(H116="","",ROUND(H116*I116,0))</f>
        <v/>
      </c>
      <c r="K116" s="7">
        <f>IF(H116="","",ROUND((H116-J116)*'Danh mục'!$F$3/100,0))</f>
        <v/>
      </c>
      <c r="L116" s="7">
        <f>IF(H116="","",H116-J116+K116)</f>
        <v/>
      </c>
      <c r="M116">
        <f>IF(A116="","",MONTH(A116))</f>
        <v/>
      </c>
    </row>
    <row r="117" spans="1:13">
      <c r="A117" s="6"/>
      <c r="B117" s="4"/>
      <c r="C117" s="4"/>
      <c r="D117" s="4"/>
      <c r="E117">
        <f>IF(D117="","",IFERROR(VLOOKUP(D117,'Danh mục'!$A$4:$C$13,2,FALSE),"Không rõ mã"))</f>
        <v/>
      </c>
      <c r="F117" s="3"/>
      <c r="G117" s="7">
        <f>IF(D117="","",IFERROR(VLOOKUP(D117,'Danh mục'!$A$4:$C$13,3,FALSE),0))</f>
        <v/>
      </c>
      <c r="H117" s="7">
        <f>IF(F117="","",F117*G117)</f>
        <v/>
      </c>
      <c r="I117" s="8">
        <f>IF(F117="","",IF(F117&gt;=50,5%,IF(F117&gt;=20,2%,0)))</f>
        <v/>
      </c>
      <c r="J117" s="7">
        <f>IF(H117="","",ROUND(H117*I117,0))</f>
        <v/>
      </c>
      <c r="K117" s="7">
        <f>IF(H117="","",ROUND((H117-J117)*'Danh mục'!$F$3/100,0))</f>
        <v/>
      </c>
      <c r="L117" s="7">
        <f>IF(H117="","",H117-J117+K117)</f>
        <v/>
      </c>
      <c r="M117">
        <f>IF(A117="","",MONTH(A117))</f>
        <v/>
      </c>
    </row>
    <row r="118" spans="1:13">
      <c r="A118" s="6"/>
      <c r="B118" s="4"/>
      <c r="C118" s="4"/>
      <c r="D118" s="4"/>
      <c r="E118">
        <f>IF(D118="","",IFERROR(VLOOKUP(D118,'Danh mục'!$A$4:$C$13,2,FALSE),"Không rõ mã"))</f>
        <v/>
      </c>
      <c r="F118" s="3"/>
      <c r="G118" s="7">
        <f>IF(D118="","",IFERROR(VLOOKUP(D118,'Danh mục'!$A$4:$C$13,3,FALSE),0))</f>
        <v/>
      </c>
      <c r="H118" s="7">
        <f>IF(F118="","",F118*G118)</f>
        <v/>
      </c>
      <c r="I118" s="8">
        <f>IF(F118="","",IF(F118&gt;=50,5%,IF(F118&gt;=20,2%,0)))</f>
        <v/>
      </c>
      <c r="J118" s="7">
        <f>IF(H118="","",ROUND(H118*I118,0))</f>
        <v/>
      </c>
      <c r="K118" s="7">
        <f>IF(H118="","",ROUND((H118-J118)*'Danh mục'!$F$3/100,0))</f>
        <v/>
      </c>
      <c r="L118" s="7">
        <f>IF(H118="","",H118-J118+K118)</f>
        <v/>
      </c>
      <c r="M118">
        <f>IF(A118="","",MONTH(A118))</f>
        <v/>
      </c>
    </row>
    <row r="119" spans="1:13">
      <c r="A119" s="6"/>
      <c r="B119" s="4"/>
      <c r="C119" s="4"/>
      <c r="D119" s="4"/>
      <c r="E119">
        <f>IF(D119="","",IFERROR(VLOOKUP(D119,'Danh mục'!$A$4:$C$13,2,FALSE),"Không rõ mã"))</f>
        <v/>
      </c>
      <c r="F119" s="3"/>
      <c r="G119" s="7">
        <f>IF(D119="","",IFERROR(VLOOKUP(D119,'Danh mục'!$A$4:$C$13,3,FALSE),0))</f>
        <v/>
      </c>
      <c r="H119" s="7">
        <f>IF(F119="","",F119*G119)</f>
        <v/>
      </c>
      <c r="I119" s="8">
        <f>IF(F119="","",IF(F119&gt;=50,5%,IF(F119&gt;=20,2%,0)))</f>
        <v/>
      </c>
      <c r="J119" s="7">
        <f>IF(H119="","",ROUND(H119*I119,0))</f>
        <v/>
      </c>
      <c r="K119" s="7">
        <f>IF(H119="","",ROUND((H119-J119)*'Danh mục'!$F$3/100,0))</f>
        <v/>
      </c>
      <c r="L119" s="7">
        <f>IF(H119="","",H119-J119+K119)</f>
        <v/>
      </c>
      <c r="M119">
        <f>IF(A119="","",MONTH(A119))</f>
        <v/>
      </c>
    </row>
    <row r="120" spans="1:13">
      <c r="A120" s="6"/>
      <c r="B120" s="4"/>
      <c r="C120" s="4"/>
      <c r="D120" s="4"/>
      <c r="E120">
        <f>IF(D120="","",IFERROR(VLOOKUP(D120,'Danh mục'!$A$4:$C$13,2,FALSE),"Không rõ mã"))</f>
        <v/>
      </c>
      <c r="F120" s="3"/>
      <c r="G120" s="7">
        <f>IF(D120="","",IFERROR(VLOOKUP(D120,'Danh mục'!$A$4:$C$13,3,FALSE),0))</f>
        <v/>
      </c>
      <c r="H120" s="7">
        <f>IF(F120="","",F120*G120)</f>
        <v/>
      </c>
      <c r="I120" s="8">
        <f>IF(F120="","",IF(F120&gt;=50,5%,IF(F120&gt;=20,2%,0)))</f>
        <v/>
      </c>
      <c r="J120" s="7">
        <f>IF(H120="","",ROUND(H120*I120,0))</f>
        <v/>
      </c>
      <c r="K120" s="7">
        <f>IF(H120="","",ROUND((H120-J120)*'Danh mục'!$F$3/100,0))</f>
        <v/>
      </c>
      <c r="L120" s="7">
        <f>IF(H120="","",H120-J120+K120)</f>
        <v/>
      </c>
      <c r="M120">
        <f>IF(A120="","",MONTH(A120))</f>
        <v/>
      </c>
    </row>
    <row r="121" spans="1:13">
      <c r="A121" s="6"/>
      <c r="B121" s="4"/>
      <c r="C121" s="4"/>
      <c r="D121" s="4"/>
      <c r="E121">
        <f>IF(D121="","",IFERROR(VLOOKUP(D121,'Danh mục'!$A$4:$C$13,2,FALSE),"Không rõ mã"))</f>
        <v/>
      </c>
      <c r="F121" s="3"/>
      <c r="G121" s="7">
        <f>IF(D121="","",IFERROR(VLOOKUP(D121,'Danh mục'!$A$4:$C$13,3,FALSE),0))</f>
        <v/>
      </c>
      <c r="H121" s="7">
        <f>IF(F121="","",F121*G121)</f>
        <v/>
      </c>
      <c r="I121" s="8">
        <f>IF(F121="","",IF(F121&gt;=50,5%,IF(F121&gt;=20,2%,0)))</f>
        <v/>
      </c>
      <c r="J121" s="7">
        <f>IF(H121="","",ROUND(H121*I121,0))</f>
        <v/>
      </c>
      <c r="K121" s="7">
        <f>IF(H121="","",ROUND((H121-J121)*'Danh mục'!$F$3/100,0))</f>
        <v/>
      </c>
      <c r="L121" s="7">
        <f>IF(H121="","",H121-J121+K121)</f>
        <v/>
      </c>
      <c r="M121">
        <f>IF(A121="","",MONTH(A121))</f>
        <v/>
      </c>
    </row>
    <row r="122" spans="1:13">
      <c r="A122" s="6"/>
      <c r="B122" s="4"/>
      <c r="C122" s="4"/>
      <c r="D122" s="4"/>
      <c r="E122">
        <f>IF(D122="","",IFERROR(VLOOKUP(D122,'Danh mục'!$A$4:$C$13,2,FALSE),"Không rõ mã"))</f>
        <v/>
      </c>
      <c r="F122" s="3"/>
      <c r="G122" s="7">
        <f>IF(D122="","",IFERROR(VLOOKUP(D122,'Danh mục'!$A$4:$C$13,3,FALSE),0))</f>
        <v/>
      </c>
      <c r="H122" s="7">
        <f>IF(F122="","",F122*G122)</f>
        <v/>
      </c>
      <c r="I122" s="8">
        <f>IF(F122="","",IF(F122&gt;=50,5%,IF(F122&gt;=20,2%,0)))</f>
        <v/>
      </c>
      <c r="J122" s="7">
        <f>IF(H122="","",ROUND(H122*I122,0))</f>
        <v/>
      </c>
      <c r="K122" s="7">
        <f>IF(H122="","",ROUND((H122-J122)*'Danh mục'!$F$3/100,0))</f>
        <v/>
      </c>
      <c r="L122" s="7">
        <f>IF(H122="","",H122-J122+K122)</f>
        <v/>
      </c>
      <c r="M122">
        <f>IF(A122="","",MONTH(A122))</f>
        <v/>
      </c>
    </row>
    <row r="123" spans="1:13">
      <c r="A123" s="6"/>
      <c r="B123" s="4"/>
      <c r="C123" s="4"/>
      <c r="D123" s="4"/>
      <c r="E123">
        <f>IF(D123="","",IFERROR(VLOOKUP(D123,'Danh mục'!$A$4:$C$13,2,FALSE),"Không rõ mã"))</f>
        <v/>
      </c>
      <c r="F123" s="3"/>
      <c r="G123" s="7">
        <f>IF(D123="","",IFERROR(VLOOKUP(D123,'Danh mục'!$A$4:$C$13,3,FALSE),0))</f>
        <v/>
      </c>
      <c r="H123" s="7">
        <f>IF(F123="","",F123*G123)</f>
        <v/>
      </c>
      <c r="I123" s="8">
        <f>IF(F123="","",IF(F123&gt;=50,5%,IF(F123&gt;=20,2%,0)))</f>
        <v/>
      </c>
      <c r="J123" s="7">
        <f>IF(H123="","",ROUND(H123*I123,0))</f>
        <v/>
      </c>
      <c r="K123" s="7">
        <f>IF(H123="","",ROUND((H123-J123)*'Danh mục'!$F$3/100,0))</f>
        <v/>
      </c>
      <c r="L123" s="7">
        <f>IF(H123="","",H123-J123+K123)</f>
        <v/>
      </c>
      <c r="M123">
        <f>IF(A123="","",MONTH(A123))</f>
        <v/>
      </c>
    </row>
    <row r="124" spans="1:13">
      <c r="A124" s="6"/>
      <c r="B124" s="4"/>
      <c r="C124" s="4"/>
      <c r="D124" s="4"/>
      <c r="E124">
        <f>IF(D124="","",IFERROR(VLOOKUP(D124,'Danh mục'!$A$4:$C$13,2,FALSE),"Không rõ mã"))</f>
        <v/>
      </c>
      <c r="F124" s="3"/>
      <c r="G124" s="7">
        <f>IF(D124="","",IFERROR(VLOOKUP(D124,'Danh mục'!$A$4:$C$13,3,FALSE),0))</f>
        <v/>
      </c>
      <c r="H124" s="7">
        <f>IF(F124="","",F124*G124)</f>
        <v/>
      </c>
      <c r="I124" s="8">
        <f>IF(F124="","",IF(F124&gt;=50,5%,IF(F124&gt;=20,2%,0)))</f>
        <v/>
      </c>
      <c r="J124" s="7">
        <f>IF(H124="","",ROUND(H124*I124,0))</f>
        <v/>
      </c>
      <c r="K124" s="7">
        <f>IF(H124="","",ROUND((H124-J124)*'Danh mục'!$F$3/100,0))</f>
        <v/>
      </c>
      <c r="L124" s="7">
        <f>IF(H124="","",H124-J124+K124)</f>
        <v/>
      </c>
      <c r="M124">
        <f>IF(A124="","",MONTH(A124))</f>
        <v/>
      </c>
    </row>
    <row r="125" spans="1:13">
      <c r="A125" s="6"/>
      <c r="B125" s="4"/>
      <c r="C125" s="4"/>
      <c r="D125" s="4"/>
      <c r="E125">
        <f>IF(D125="","",IFERROR(VLOOKUP(D125,'Danh mục'!$A$4:$C$13,2,FALSE),"Không rõ mã"))</f>
        <v/>
      </c>
      <c r="F125" s="3"/>
      <c r="G125" s="7">
        <f>IF(D125="","",IFERROR(VLOOKUP(D125,'Danh mục'!$A$4:$C$13,3,FALSE),0))</f>
        <v/>
      </c>
      <c r="H125" s="7">
        <f>IF(F125="","",F125*G125)</f>
        <v/>
      </c>
      <c r="I125" s="8">
        <f>IF(F125="","",IF(F125&gt;=50,5%,IF(F125&gt;=20,2%,0)))</f>
        <v/>
      </c>
      <c r="J125" s="7">
        <f>IF(H125="","",ROUND(H125*I125,0))</f>
        <v/>
      </c>
      <c r="K125" s="7">
        <f>IF(H125="","",ROUND((H125-J125)*'Danh mục'!$F$3/100,0))</f>
        <v/>
      </c>
      <c r="L125" s="7">
        <f>IF(H125="","",H125-J125+K125)</f>
        <v/>
      </c>
      <c r="M125">
        <f>IF(A125="","",MONTH(A125))</f>
        <v/>
      </c>
    </row>
    <row r="126" spans="1:13">
      <c r="A126" s="6"/>
      <c r="B126" s="4"/>
      <c r="C126" s="4"/>
      <c r="D126" s="4"/>
      <c r="E126">
        <f>IF(D126="","",IFERROR(VLOOKUP(D126,'Danh mục'!$A$4:$C$13,2,FALSE),"Không rõ mã"))</f>
        <v/>
      </c>
      <c r="F126" s="3"/>
      <c r="G126" s="7">
        <f>IF(D126="","",IFERROR(VLOOKUP(D126,'Danh mục'!$A$4:$C$13,3,FALSE),0))</f>
        <v/>
      </c>
      <c r="H126" s="7">
        <f>IF(F126="","",F126*G126)</f>
        <v/>
      </c>
      <c r="I126" s="8">
        <f>IF(F126="","",IF(F126&gt;=50,5%,IF(F126&gt;=20,2%,0)))</f>
        <v/>
      </c>
      <c r="J126" s="7">
        <f>IF(H126="","",ROUND(H126*I126,0))</f>
        <v/>
      </c>
      <c r="K126" s="7">
        <f>IF(H126="","",ROUND((H126-J126)*'Danh mục'!$F$3/100,0))</f>
        <v/>
      </c>
      <c r="L126" s="7">
        <f>IF(H126="","",H126-J126+K126)</f>
        <v/>
      </c>
      <c r="M126">
        <f>IF(A126="","",MONTH(A126))</f>
        <v/>
      </c>
    </row>
    <row r="127" spans="1:13">
      <c r="A127" s="6"/>
      <c r="B127" s="4"/>
      <c r="C127" s="4"/>
      <c r="D127" s="4"/>
      <c r="E127">
        <f>IF(D127="","",IFERROR(VLOOKUP(D127,'Danh mục'!$A$4:$C$13,2,FALSE),"Không rõ mã"))</f>
        <v/>
      </c>
      <c r="F127" s="3"/>
      <c r="G127" s="7">
        <f>IF(D127="","",IFERROR(VLOOKUP(D127,'Danh mục'!$A$4:$C$13,3,FALSE),0))</f>
        <v/>
      </c>
      <c r="H127" s="7">
        <f>IF(F127="","",F127*G127)</f>
        <v/>
      </c>
      <c r="I127" s="8">
        <f>IF(F127="","",IF(F127&gt;=50,5%,IF(F127&gt;=20,2%,0)))</f>
        <v/>
      </c>
      <c r="J127" s="7">
        <f>IF(H127="","",ROUND(H127*I127,0))</f>
        <v/>
      </c>
      <c r="K127" s="7">
        <f>IF(H127="","",ROUND((H127-J127)*'Danh mục'!$F$3/100,0))</f>
        <v/>
      </c>
      <c r="L127" s="7">
        <f>IF(H127="","",H127-J127+K127)</f>
        <v/>
      </c>
      <c r="M127">
        <f>IF(A127="","",MONTH(A127))</f>
        <v/>
      </c>
    </row>
    <row r="128" spans="1:13">
      <c r="A128" s="6"/>
      <c r="B128" s="4"/>
      <c r="C128" s="4"/>
      <c r="D128" s="4"/>
      <c r="E128">
        <f>IF(D128="","",IFERROR(VLOOKUP(D128,'Danh mục'!$A$4:$C$13,2,FALSE),"Không rõ mã"))</f>
        <v/>
      </c>
      <c r="F128" s="3"/>
      <c r="G128" s="7">
        <f>IF(D128="","",IFERROR(VLOOKUP(D128,'Danh mục'!$A$4:$C$13,3,FALSE),0))</f>
        <v/>
      </c>
      <c r="H128" s="7">
        <f>IF(F128="","",F128*G128)</f>
        <v/>
      </c>
      <c r="I128" s="8">
        <f>IF(F128="","",IF(F128&gt;=50,5%,IF(F128&gt;=20,2%,0)))</f>
        <v/>
      </c>
      <c r="J128" s="7">
        <f>IF(H128="","",ROUND(H128*I128,0))</f>
        <v/>
      </c>
      <c r="K128" s="7">
        <f>IF(H128="","",ROUND((H128-J128)*'Danh mục'!$F$3/100,0))</f>
        <v/>
      </c>
      <c r="L128" s="7">
        <f>IF(H128="","",H128-J128+K128)</f>
        <v/>
      </c>
      <c r="M128">
        <f>IF(A128="","",MONTH(A128))</f>
        <v/>
      </c>
    </row>
    <row r="129" spans="1:13">
      <c r="A129" s="6"/>
      <c r="B129" s="4"/>
      <c r="C129" s="4"/>
      <c r="D129" s="4"/>
      <c r="E129">
        <f>IF(D129="","",IFERROR(VLOOKUP(D129,'Danh mục'!$A$4:$C$13,2,FALSE),"Không rõ mã"))</f>
        <v/>
      </c>
      <c r="F129" s="3"/>
      <c r="G129" s="7">
        <f>IF(D129="","",IFERROR(VLOOKUP(D129,'Danh mục'!$A$4:$C$13,3,FALSE),0))</f>
        <v/>
      </c>
      <c r="H129" s="7">
        <f>IF(F129="","",F129*G129)</f>
        <v/>
      </c>
      <c r="I129" s="8">
        <f>IF(F129="","",IF(F129&gt;=50,5%,IF(F129&gt;=20,2%,0)))</f>
        <v/>
      </c>
      <c r="J129" s="7">
        <f>IF(H129="","",ROUND(H129*I129,0))</f>
        <v/>
      </c>
      <c r="K129" s="7">
        <f>IF(H129="","",ROUND((H129-J129)*'Danh mục'!$F$3/100,0))</f>
        <v/>
      </c>
      <c r="L129" s="7">
        <f>IF(H129="","",H129-J129+K129)</f>
        <v/>
      </c>
      <c r="M129">
        <f>IF(A129="","",MONTH(A129))</f>
        <v/>
      </c>
    </row>
    <row r="130" spans="1:13">
      <c r="A130" s="6"/>
      <c r="B130" s="4"/>
      <c r="C130" s="4"/>
      <c r="D130" s="4"/>
      <c r="E130">
        <f>IF(D130="","",IFERROR(VLOOKUP(D130,'Danh mục'!$A$4:$C$13,2,FALSE),"Không rõ mã"))</f>
        <v/>
      </c>
      <c r="F130" s="3"/>
      <c r="G130" s="7">
        <f>IF(D130="","",IFERROR(VLOOKUP(D130,'Danh mục'!$A$4:$C$13,3,FALSE),0))</f>
        <v/>
      </c>
      <c r="H130" s="7">
        <f>IF(F130="","",F130*G130)</f>
        <v/>
      </c>
      <c r="I130" s="8">
        <f>IF(F130="","",IF(F130&gt;=50,5%,IF(F130&gt;=20,2%,0)))</f>
        <v/>
      </c>
      <c r="J130" s="7">
        <f>IF(H130="","",ROUND(H130*I130,0))</f>
        <v/>
      </c>
      <c r="K130" s="7">
        <f>IF(H130="","",ROUND((H130-J130)*'Danh mục'!$F$3/100,0))</f>
        <v/>
      </c>
      <c r="L130" s="7">
        <f>IF(H130="","",H130-J130+K130)</f>
        <v/>
      </c>
      <c r="M130">
        <f>IF(A130="","",MONTH(A130))</f>
        <v/>
      </c>
    </row>
    <row r="131" spans="1:13">
      <c r="A131" s="6"/>
      <c r="B131" s="4"/>
      <c r="C131" s="4"/>
      <c r="D131" s="4"/>
      <c r="E131">
        <f>IF(D131="","",IFERROR(VLOOKUP(D131,'Danh mục'!$A$4:$C$13,2,FALSE),"Không rõ mã"))</f>
        <v/>
      </c>
      <c r="F131" s="3"/>
      <c r="G131" s="7">
        <f>IF(D131="","",IFERROR(VLOOKUP(D131,'Danh mục'!$A$4:$C$13,3,FALSE),0))</f>
        <v/>
      </c>
      <c r="H131" s="7">
        <f>IF(F131="","",F131*G131)</f>
        <v/>
      </c>
      <c r="I131" s="8">
        <f>IF(F131="","",IF(F131&gt;=50,5%,IF(F131&gt;=20,2%,0)))</f>
        <v/>
      </c>
      <c r="J131" s="7">
        <f>IF(H131="","",ROUND(H131*I131,0))</f>
        <v/>
      </c>
      <c r="K131" s="7">
        <f>IF(H131="","",ROUND((H131-J131)*'Danh mục'!$F$3/100,0))</f>
        <v/>
      </c>
      <c r="L131" s="7">
        <f>IF(H131="","",H131-J131+K131)</f>
        <v/>
      </c>
      <c r="M131">
        <f>IF(A131="","",MONTH(A131))</f>
        <v/>
      </c>
    </row>
    <row r="132" spans="1:13">
      <c r="A132" s="6"/>
      <c r="B132" s="4"/>
      <c r="C132" s="4"/>
      <c r="D132" s="4"/>
      <c r="E132">
        <f>IF(D132="","",IFERROR(VLOOKUP(D132,'Danh mục'!$A$4:$C$13,2,FALSE),"Không rõ mã"))</f>
        <v/>
      </c>
      <c r="F132" s="3"/>
      <c r="G132" s="7">
        <f>IF(D132="","",IFERROR(VLOOKUP(D132,'Danh mục'!$A$4:$C$13,3,FALSE),0))</f>
        <v/>
      </c>
      <c r="H132" s="7">
        <f>IF(F132="","",F132*G132)</f>
        <v/>
      </c>
      <c r="I132" s="8">
        <f>IF(F132="","",IF(F132&gt;=50,5%,IF(F132&gt;=20,2%,0)))</f>
        <v/>
      </c>
      <c r="J132" s="7">
        <f>IF(H132="","",ROUND(H132*I132,0))</f>
        <v/>
      </c>
      <c r="K132" s="7">
        <f>IF(H132="","",ROUND((H132-J132)*'Danh mục'!$F$3/100,0))</f>
        <v/>
      </c>
      <c r="L132" s="7">
        <f>IF(H132="","",H132-J132+K132)</f>
        <v/>
      </c>
      <c r="M132">
        <f>IF(A132="","",MONTH(A132))</f>
        <v/>
      </c>
    </row>
    <row r="133" spans="1:13">
      <c r="A133" s="6"/>
      <c r="B133" s="4"/>
      <c r="C133" s="4"/>
      <c r="D133" s="4"/>
      <c r="E133">
        <f>IF(D133="","",IFERROR(VLOOKUP(D133,'Danh mục'!$A$4:$C$13,2,FALSE),"Không rõ mã"))</f>
        <v/>
      </c>
      <c r="F133" s="3"/>
      <c r="G133" s="7">
        <f>IF(D133="","",IFERROR(VLOOKUP(D133,'Danh mục'!$A$4:$C$13,3,FALSE),0))</f>
        <v/>
      </c>
      <c r="H133" s="7">
        <f>IF(F133="","",F133*G133)</f>
        <v/>
      </c>
      <c r="I133" s="8">
        <f>IF(F133="","",IF(F133&gt;=50,5%,IF(F133&gt;=20,2%,0)))</f>
        <v/>
      </c>
      <c r="J133" s="7">
        <f>IF(H133="","",ROUND(H133*I133,0))</f>
        <v/>
      </c>
      <c r="K133" s="7">
        <f>IF(H133="","",ROUND((H133-J133)*'Danh mục'!$F$3/100,0))</f>
        <v/>
      </c>
      <c r="L133" s="7">
        <f>IF(H133="","",H133-J133+K133)</f>
        <v/>
      </c>
      <c r="M133">
        <f>IF(A133="","",MONTH(A133))</f>
        <v/>
      </c>
    </row>
    <row r="134" spans="1:13">
      <c r="A134" s="6"/>
      <c r="B134" s="4"/>
      <c r="C134" s="4"/>
      <c r="D134" s="4"/>
      <c r="E134">
        <f>IF(D134="","",IFERROR(VLOOKUP(D134,'Danh mục'!$A$4:$C$13,2,FALSE),"Không rõ mã"))</f>
        <v/>
      </c>
      <c r="F134" s="3"/>
      <c r="G134" s="7">
        <f>IF(D134="","",IFERROR(VLOOKUP(D134,'Danh mục'!$A$4:$C$13,3,FALSE),0))</f>
        <v/>
      </c>
      <c r="H134" s="7">
        <f>IF(F134="","",F134*G134)</f>
        <v/>
      </c>
      <c r="I134" s="8">
        <f>IF(F134="","",IF(F134&gt;=50,5%,IF(F134&gt;=20,2%,0)))</f>
        <v/>
      </c>
      <c r="J134" s="7">
        <f>IF(H134="","",ROUND(H134*I134,0))</f>
        <v/>
      </c>
      <c r="K134" s="7">
        <f>IF(H134="","",ROUND((H134-J134)*'Danh mục'!$F$3/100,0))</f>
        <v/>
      </c>
      <c r="L134" s="7">
        <f>IF(H134="","",H134-J134+K134)</f>
        <v/>
      </c>
      <c r="M134">
        <f>IF(A134="","",MONTH(A134))</f>
        <v/>
      </c>
    </row>
    <row r="135" spans="1:13">
      <c r="A135" s="6"/>
      <c r="B135" s="4"/>
      <c r="C135" s="4"/>
      <c r="D135" s="4"/>
      <c r="E135">
        <f>IF(D135="","",IFERROR(VLOOKUP(D135,'Danh mục'!$A$4:$C$13,2,FALSE),"Không rõ mã"))</f>
        <v/>
      </c>
      <c r="F135" s="3"/>
      <c r="G135" s="7">
        <f>IF(D135="","",IFERROR(VLOOKUP(D135,'Danh mục'!$A$4:$C$13,3,FALSE),0))</f>
        <v/>
      </c>
      <c r="H135" s="7">
        <f>IF(F135="","",F135*G135)</f>
        <v/>
      </c>
      <c r="I135" s="8">
        <f>IF(F135="","",IF(F135&gt;=50,5%,IF(F135&gt;=20,2%,0)))</f>
        <v/>
      </c>
      <c r="J135" s="7">
        <f>IF(H135="","",ROUND(H135*I135,0))</f>
        <v/>
      </c>
      <c r="K135" s="7">
        <f>IF(H135="","",ROUND((H135-J135)*'Danh mục'!$F$3/100,0))</f>
        <v/>
      </c>
      <c r="L135" s="7">
        <f>IF(H135="","",H135-J135+K135)</f>
        <v/>
      </c>
      <c r="M135">
        <f>IF(A135="","",MONTH(A135))</f>
        <v/>
      </c>
    </row>
    <row r="136" spans="1:13">
      <c r="A136" s="6"/>
      <c r="B136" s="4"/>
      <c r="C136" s="4"/>
      <c r="D136" s="4"/>
      <c r="E136">
        <f>IF(D136="","",IFERROR(VLOOKUP(D136,'Danh mục'!$A$4:$C$13,2,FALSE),"Không rõ mã"))</f>
        <v/>
      </c>
      <c r="F136" s="3"/>
      <c r="G136" s="7">
        <f>IF(D136="","",IFERROR(VLOOKUP(D136,'Danh mục'!$A$4:$C$13,3,FALSE),0))</f>
        <v/>
      </c>
      <c r="H136" s="7">
        <f>IF(F136="","",F136*G136)</f>
        <v/>
      </c>
      <c r="I136" s="8">
        <f>IF(F136="","",IF(F136&gt;=50,5%,IF(F136&gt;=20,2%,0)))</f>
        <v/>
      </c>
      <c r="J136" s="7">
        <f>IF(H136="","",ROUND(H136*I136,0))</f>
        <v/>
      </c>
      <c r="K136" s="7">
        <f>IF(H136="","",ROUND((H136-J136)*'Danh mục'!$F$3/100,0))</f>
        <v/>
      </c>
      <c r="L136" s="7">
        <f>IF(H136="","",H136-J136+K136)</f>
        <v/>
      </c>
      <c r="M136">
        <f>IF(A136="","",MONTH(A136))</f>
        <v/>
      </c>
    </row>
    <row r="137" spans="1:13">
      <c r="A137" s="6"/>
      <c r="B137" s="4"/>
      <c r="C137" s="4"/>
      <c r="D137" s="4"/>
      <c r="E137">
        <f>IF(D137="","",IFERROR(VLOOKUP(D137,'Danh mục'!$A$4:$C$13,2,FALSE),"Không rõ mã"))</f>
        <v/>
      </c>
      <c r="F137" s="3"/>
      <c r="G137" s="7">
        <f>IF(D137="","",IFERROR(VLOOKUP(D137,'Danh mục'!$A$4:$C$13,3,FALSE),0))</f>
        <v/>
      </c>
      <c r="H137" s="7">
        <f>IF(F137="","",F137*G137)</f>
        <v/>
      </c>
      <c r="I137" s="8">
        <f>IF(F137="","",IF(F137&gt;=50,5%,IF(F137&gt;=20,2%,0)))</f>
        <v/>
      </c>
      <c r="J137" s="7">
        <f>IF(H137="","",ROUND(H137*I137,0))</f>
        <v/>
      </c>
      <c r="K137" s="7">
        <f>IF(H137="","",ROUND((H137-J137)*'Danh mục'!$F$3/100,0))</f>
        <v/>
      </c>
      <c r="L137" s="7">
        <f>IF(H137="","",H137-J137+K137)</f>
        <v/>
      </c>
      <c r="M137">
        <f>IF(A137="","",MONTH(A137))</f>
        <v/>
      </c>
    </row>
    <row r="138" spans="1:13">
      <c r="A138" s="6"/>
      <c r="B138" s="4"/>
      <c r="C138" s="4"/>
      <c r="D138" s="4"/>
      <c r="E138">
        <f>IF(D138="","",IFERROR(VLOOKUP(D138,'Danh mục'!$A$4:$C$13,2,FALSE),"Không rõ mã"))</f>
        <v/>
      </c>
      <c r="F138" s="3"/>
      <c r="G138" s="7">
        <f>IF(D138="","",IFERROR(VLOOKUP(D138,'Danh mục'!$A$4:$C$13,3,FALSE),0))</f>
        <v/>
      </c>
      <c r="H138" s="7">
        <f>IF(F138="","",F138*G138)</f>
        <v/>
      </c>
      <c r="I138" s="8">
        <f>IF(F138="","",IF(F138&gt;=50,5%,IF(F138&gt;=20,2%,0)))</f>
        <v/>
      </c>
      <c r="J138" s="7">
        <f>IF(H138="","",ROUND(H138*I138,0))</f>
        <v/>
      </c>
      <c r="K138" s="7">
        <f>IF(H138="","",ROUND((H138-J138)*'Danh mục'!$F$3/100,0))</f>
        <v/>
      </c>
      <c r="L138" s="7">
        <f>IF(H138="","",H138-J138+K138)</f>
        <v/>
      </c>
      <c r="M138">
        <f>IF(A138="","",MONTH(A138))</f>
        <v/>
      </c>
    </row>
    <row r="139" spans="1:13">
      <c r="A139" s="6"/>
      <c r="B139" s="4"/>
      <c r="C139" s="4"/>
      <c r="D139" s="4"/>
      <c r="E139">
        <f>IF(D139="","",IFERROR(VLOOKUP(D139,'Danh mục'!$A$4:$C$13,2,FALSE),"Không rõ mã"))</f>
        <v/>
      </c>
      <c r="F139" s="3"/>
      <c r="G139" s="7">
        <f>IF(D139="","",IFERROR(VLOOKUP(D139,'Danh mục'!$A$4:$C$13,3,FALSE),0))</f>
        <v/>
      </c>
      <c r="H139" s="7">
        <f>IF(F139="","",F139*G139)</f>
        <v/>
      </c>
      <c r="I139" s="8">
        <f>IF(F139="","",IF(F139&gt;=50,5%,IF(F139&gt;=20,2%,0)))</f>
        <v/>
      </c>
      <c r="J139" s="7">
        <f>IF(H139="","",ROUND(H139*I139,0))</f>
        <v/>
      </c>
      <c r="K139" s="7">
        <f>IF(H139="","",ROUND((H139-J139)*'Danh mục'!$F$3/100,0))</f>
        <v/>
      </c>
      <c r="L139" s="7">
        <f>IF(H139="","",H139-J139+K139)</f>
        <v/>
      </c>
      <c r="M139">
        <f>IF(A139="","",MONTH(A139))</f>
        <v/>
      </c>
    </row>
    <row r="140" spans="1:13">
      <c r="A140" s="6"/>
      <c r="B140" s="4"/>
      <c r="C140" s="4"/>
      <c r="D140" s="4"/>
      <c r="E140">
        <f>IF(D140="","",IFERROR(VLOOKUP(D140,'Danh mục'!$A$4:$C$13,2,FALSE),"Không rõ mã"))</f>
        <v/>
      </c>
      <c r="F140" s="3"/>
      <c r="G140" s="7">
        <f>IF(D140="","",IFERROR(VLOOKUP(D140,'Danh mục'!$A$4:$C$13,3,FALSE),0))</f>
        <v/>
      </c>
      <c r="H140" s="7">
        <f>IF(F140="","",F140*G140)</f>
        <v/>
      </c>
      <c r="I140" s="8">
        <f>IF(F140="","",IF(F140&gt;=50,5%,IF(F140&gt;=20,2%,0)))</f>
        <v/>
      </c>
      <c r="J140" s="7">
        <f>IF(H140="","",ROUND(H140*I140,0))</f>
        <v/>
      </c>
      <c r="K140" s="7">
        <f>IF(H140="","",ROUND((H140-J140)*'Danh mục'!$F$3/100,0))</f>
        <v/>
      </c>
      <c r="L140" s="7">
        <f>IF(H140="","",H140-J140+K140)</f>
        <v/>
      </c>
      <c r="M140">
        <f>IF(A140="","",MONTH(A140))</f>
        <v/>
      </c>
    </row>
    <row r="141" spans="1:13">
      <c r="A141" s="6"/>
      <c r="B141" s="4"/>
      <c r="C141" s="4"/>
      <c r="D141" s="4"/>
      <c r="E141">
        <f>IF(D141="","",IFERROR(VLOOKUP(D141,'Danh mục'!$A$4:$C$13,2,FALSE),"Không rõ mã"))</f>
        <v/>
      </c>
      <c r="F141" s="3"/>
      <c r="G141" s="7">
        <f>IF(D141="","",IFERROR(VLOOKUP(D141,'Danh mục'!$A$4:$C$13,3,FALSE),0))</f>
        <v/>
      </c>
      <c r="H141" s="7">
        <f>IF(F141="","",F141*G141)</f>
        <v/>
      </c>
      <c r="I141" s="8">
        <f>IF(F141="","",IF(F141&gt;=50,5%,IF(F141&gt;=20,2%,0)))</f>
        <v/>
      </c>
      <c r="J141" s="7">
        <f>IF(H141="","",ROUND(H141*I141,0))</f>
        <v/>
      </c>
      <c r="K141" s="7">
        <f>IF(H141="","",ROUND((H141-J141)*'Danh mục'!$F$3/100,0))</f>
        <v/>
      </c>
      <c r="L141" s="7">
        <f>IF(H141="","",H141-J141+K141)</f>
        <v/>
      </c>
      <c r="M141">
        <f>IF(A141="","",MONTH(A141))</f>
        <v/>
      </c>
    </row>
    <row r="142" spans="1:13">
      <c r="A142" s="6"/>
      <c r="B142" s="4"/>
      <c r="C142" s="4"/>
      <c r="D142" s="4"/>
      <c r="E142">
        <f>IF(D142="","",IFERROR(VLOOKUP(D142,'Danh mục'!$A$4:$C$13,2,FALSE),"Không rõ mã"))</f>
        <v/>
      </c>
      <c r="F142" s="3"/>
      <c r="G142" s="7">
        <f>IF(D142="","",IFERROR(VLOOKUP(D142,'Danh mục'!$A$4:$C$13,3,FALSE),0))</f>
        <v/>
      </c>
      <c r="H142" s="7">
        <f>IF(F142="","",F142*G142)</f>
        <v/>
      </c>
      <c r="I142" s="8">
        <f>IF(F142="","",IF(F142&gt;=50,5%,IF(F142&gt;=20,2%,0)))</f>
        <v/>
      </c>
      <c r="J142" s="7">
        <f>IF(H142="","",ROUND(H142*I142,0))</f>
        <v/>
      </c>
      <c r="K142" s="7">
        <f>IF(H142="","",ROUND((H142-J142)*'Danh mục'!$F$3/100,0))</f>
        <v/>
      </c>
      <c r="L142" s="7">
        <f>IF(H142="","",H142-J142+K142)</f>
        <v/>
      </c>
      <c r="M142">
        <f>IF(A142="","",MONTH(A142))</f>
        <v/>
      </c>
    </row>
    <row r="143" spans="1:13">
      <c r="A143" s="6"/>
      <c r="B143" s="4"/>
      <c r="C143" s="4"/>
      <c r="D143" s="4"/>
      <c r="E143">
        <f>IF(D143="","",IFERROR(VLOOKUP(D143,'Danh mục'!$A$4:$C$13,2,FALSE),"Không rõ mã"))</f>
        <v/>
      </c>
      <c r="F143" s="3"/>
      <c r="G143" s="7">
        <f>IF(D143="","",IFERROR(VLOOKUP(D143,'Danh mục'!$A$4:$C$13,3,FALSE),0))</f>
        <v/>
      </c>
      <c r="H143" s="7">
        <f>IF(F143="","",F143*G143)</f>
        <v/>
      </c>
      <c r="I143" s="8">
        <f>IF(F143="","",IF(F143&gt;=50,5%,IF(F143&gt;=20,2%,0)))</f>
        <v/>
      </c>
      <c r="J143" s="7">
        <f>IF(H143="","",ROUND(H143*I143,0))</f>
        <v/>
      </c>
      <c r="K143" s="7">
        <f>IF(H143="","",ROUND((H143-J143)*'Danh mục'!$F$3/100,0))</f>
        <v/>
      </c>
      <c r="L143" s="7">
        <f>IF(H143="","",H143-J143+K143)</f>
        <v/>
      </c>
      <c r="M143">
        <f>IF(A143="","",MONTH(A143))</f>
        <v/>
      </c>
    </row>
    <row r="144" spans="1:13">
      <c r="A144" s="6"/>
      <c r="B144" s="4"/>
      <c r="C144" s="4"/>
      <c r="D144" s="4"/>
      <c r="E144">
        <f>IF(D144="","",IFERROR(VLOOKUP(D144,'Danh mục'!$A$4:$C$13,2,FALSE),"Không rõ mã"))</f>
        <v/>
      </c>
      <c r="F144" s="3"/>
      <c r="G144" s="7">
        <f>IF(D144="","",IFERROR(VLOOKUP(D144,'Danh mục'!$A$4:$C$13,3,FALSE),0))</f>
        <v/>
      </c>
      <c r="H144" s="7">
        <f>IF(F144="","",F144*G144)</f>
        <v/>
      </c>
      <c r="I144" s="8">
        <f>IF(F144="","",IF(F144&gt;=50,5%,IF(F144&gt;=20,2%,0)))</f>
        <v/>
      </c>
      <c r="J144" s="7">
        <f>IF(H144="","",ROUND(H144*I144,0))</f>
        <v/>
      </c>
      <c r="K144" s="7">
        <f>IF(H144="","",ROUND((H144-J144)*'Danh mục'!$F$3/100,0))</f>
        <v/>
      </c>
      <c r="L144" s="7">
        <f>IF(H144="","",H144-J144+K144)</f>
        <v/>
      </c>
      <c r="M144">
        <f>IF(A144="","",MONTH(A144))</f>
        <v/>
      </c>
    </row>
    <row r="145" spans="1:13">
      <c r="A145" s="6"/>
      <c r="B145" s="4"/>
      <c r="C145" s="4"/>
      <c r="D145" s="4"/>
      <c r="E145">
        <f>IF(D145="","",IFERROR(VLOOKUP(D145,'Danh mục'!$A$4:$C$13,2,FALSE),"Không rõ mã"))</f>
        <v/>
      </c>
      <c r="F145" s="3"/>
      <c r="G145" s="7">
        <f>IF(D145="","",IFERROR(VLOOKUP(D145,'Danh mục'!$A$4:$C$13,3,FALSE),0))</f>
        <v/>
      </c>
      <c r="H145" s="7">
        <f>IF(F145="","",F145*G145)</f>
        <v/>
      </c>
      <c r="I145" s="8">
        <f>IF(F145="","",IF(F145&gt;=50,5%,IF(F145&gt;=20,2%,0)))</f>
        <v/>
      </c>
      <c r="J145" s="7">
        <f>IF(H145="","",ROUND(H145*I145,0))</f>
        <v/>
      </c>
      <c r="K145" s="7">
        <f>IF(H145="","",ROUND((H145-J145)*'Danh mục'!$F$3/100,0))</f>
        <v/>
      </c>
      <c r="L145" s="7">
        <f>IF(H145="","",H145-J145+K145)</f>
        <v/>
      </c>
      <c r="M145">
        <f>IF(A145="","",MONTH(A145))</f>
        <v/>
      </c>
    </row>
    <row r="146" spans="1:13">
      <c r="A146" s="6"/>
      <c r="B146" s="4"/>
      <c r="C146" s="4"/>
      <c r="D146" s="4"/>
      <c r="E146">
        <f>IF(D146="","",IFERROR(VLOOKUP(D146,'Danh mục'!$A$4:$C$13,2,FALSE),"Không rõ mã"))</f>
        <v/>
      </c>
      <c r="F146" s="3"/>
      <c r="G146" s="7">
        <f>IF(D146="","",IFERROR(VLOOKUP(D146,'Danh mục'!$A$4:$C$13,3,FALSE),0))</f>
        <v/>
      </c>
      <c r="H146" s="7">
        <f>IF(F146="","",F146*G146)</f>
        <v/>
      </c>
      <c r="I146" s="8">
        <f>IF(F146="","",IF(F146&gt;=50,5%,IF(F146&gt;=20,2%,0)))</f>
        <v/>
      </c>
      <c r="J146" s="7">
        <f>IF(H146="","",ROUND(H146*I146,0))</f>
        <v/>
      </c>
      <c r="K146" s="7">
        <f>IF(H146="","",ROUND((H146-J146)*'Danh mục'!$F$3/100,0))</f>
        <v/>
      </c>
      <c r="L146" s="7">
        <f>IF(H146="","",H146-J146+K146)</f>
        <v/>
      </c>
      <c r="M146">
        <f>IF(A146="","",MONTH(A146))</f>
        <v/>
      </c>
    </row>
    <row r="147" spans="1:13">
      <c r="A147" s="6"/>
      <c r="B147" s="4"/>
      <c r="C147" s="4"/>
      <c r="D147" s="4"/>
      <c r="E147">
        <f>IF(D147="","",IFERROR(VLOOKUP(D147,'Danh mục'!$A$4:$C$13,2,FALSE),"Không rõ mã"))</f>
        <v/>
      </c>
      <c r="F147" s="3"/>
      <c r="G147" s="7">
        <f>IF(D147="","",IFERROR(VLOOKUP(D147,'Danh mục'!$A$4:$C$13,3,FALSE),0))</f>
        <v/>
      </c>
      <c r="H147" s="7">
        <f>IF(F147="","",F147*G147)</f>
        <v/>
      </c>
      <c r="I147" s="8">
        <f>IF(F147="","",IF(F147&gt;=50,5%,IF(F147&gt;=20,2%,0)))</f>
        <v/>
      </c>
      <c r="J147" s="7">
        <f>IF(H147="","",ROUND(H147*I147,0))</f>
        <v/>
      </c>
      <c r="K147" s="7">
        <f>IF(H147="","",ROUND((H147-J147)*'Danh mục'!$F$3/100,0))</f>
        <v/>
      </c>
      <c r="L147" s="7">
        <f>IF(H147="","",H147-J147+K147)</f>
        <v/>
      </c>
      <c r="M147">
        <f>IF(A147="","",MONTH(A147))</f>
        <v/>
      </c>
    </row>
    <row r="148" spans="1:13">
      <c r="A148" s="6"/>
      <c r="B148" s="4"/>
      <c r="C148" s="4"/>
      <c r="D148" s="4"/>
      <c r="E148">
        <f>IF(D148="","",IFERROR(VLOOKUP(D148,'Danh mục'!$A$4:$C$13,2,FALSE),"Không rõ mã"))</f>
        <v/>
      </c>
      <c r="F148" s="3"/>
      <c r="G148" s="7">
        <f>IF(D148="","",IFERROR(VLOOKUP(D148,'Danh mục'!$A$4:$C$13,3,FALSE),0))</f>
        <v/>
      </c>
      <c r="H148" s="7">
        <f>IF(F148="","",F148*G148)</f>
        <v/>
      </c>
      <c r="I148" s="8">
        <f>IF(F148="","",IF(F148&gt;=50,5%,IF(F148&gt;=20,2%,0)))</f>
        <v/>
      </c>
      <c r="J148" s="7">
        <f>IF(H148="","",ROUND(H148*I148,0))</f>
        <v/>
      </c>
      <c r="K148" s="7">
        <f>IF(H148="","",ROUND((H148-J148)*'Danh mục'!$F$3/100,0))</f>
        <v/>
      </c>
      <c r="L148" s="7">
        <f>IF(H148="","",H148-J148+K148)</f>
        <v/>
      </c>
      <c r="M148">
        <f>IF(A148="","",MONTH(A148))</f>
        <v/>
      </c>
    </row>
    <row r="149" spans="1:13">
      <c r="A149" s="6"/>
      <c r="B149" s="4"/>
      <c r="C149" s="4"/>
      <c r="D149" s="4"/>
      <c r="E149">
        <f>IF(D149="","",IFERROR(VLOOKUP(D149,'Danh mục'!$A$4:$C$13,2,FALSE),"Không rõ mã"))</f>
        <v/>
      </c>
      <c r="F149" s="3"/>
      <c r="G149" s="7">
        <f>IF(D149="","",IFERROR(VLOOKUP(D149,'Danh mục'!$A$4:$C$13,3,FALSE),0))</f>
        <v/>
      </c>
      <c r="H149" s="7">
        <f>IF(F149="","",F149*G149)</f>
        <v/>
      </c>
      <c r="I149" s="8">
        <f>IF(F149="","",IF(F149&gt;=50,5%,IF(F149&gt;=20,2%,0)))</f>
        <v/>
      </c>
      <c r="J149" s="7">
        <f>IF(H149="","",ROUND(H149*I149,0))</f>
        <v/>
      </c>
      <c r="K149" s="7">
        <f>IF(H149="","",ROUND((H149-J149)*'Danh mục'!$F$3/100,0))</f>
        <v/>
      </c>
      <c r="L149" s="7">
        <f>IF(H149="","",H149-J149+K149)</f>
        <v/>
      </c>
      <c r="M149">
        <f>IF(A149="","",MONTH(A149))</f>
        <v/>
      </c>
    </row>
    <row r="150" spans="1:13">
      <c r="A150" s="6"/>
      <c r="B150" s="4"/>
      <c r="C150" s="4"/>
      <c r="D150" s="4"/>
      <c r="E150">
        <f>IF(D150="","",IFERROR(VLOOKUP(D150,'Danh mục'!$A$4:$C$13,2,FALSE),"Không rõ mã"))</f>
        <v/>
      </c>
      <c r="F150" s="3"/>
      <c r="G150" s="7">
        <f>IF(D150="","",IFERROR(VLOOKUP(D150,'Danh mục'!$A$4:$C$13,3,FALSE),0))</f>
        <v/>
      </c>
      <c r="H150" s="7">
        <f>IF(F150="","",F150*G150)</f>
        <v/>
      </c>
      <c r="I150" s="8">
        <f>IF(F150="","",IF(F150&gt;=50,5%,IF(F150&gt;=20,2%,0)))</f>
        <v/>
      </c>
      <c r="J150" s="7">
        <f>IF(H150="","",ROUND(H150*I150,0))</f>
        <v/>
      </c>
      <c r="K150" s="7">
        <f>IF(H150="","",ROUND((H150-J150)*'Danh mục'!$F$3/100,0))</f>
        <v/>
      </c>
      <c r="L150" s="7">
        <f>IF(H150="","",H150-J150+K150)</f>
        <v/>
      </c>
      <c r="M150">
        <f>IF(A150="","",MONTH(A150))</f>
        <v/>
      </c>
    </row>
    <row r="151" spans="1:13">
      <c r="A151" s="6"/>
      <c r="B151" s="4"/>
      <c r="C151" s="4"/>
      <c r="D151" s="4"/>
      <c r="E151">
        <f>IF(D151="","",IFERROR(VLOOKUP(D151,'Danh mục'!$A$4:$C$13,2,FALSE),"Không rõ mã"))</f>
        <v/>
      </c>
      <c r="F151" s="3"/>
      <c r="G151" s="7">
        <f>IF(D151="","",IFERROR(VLOOKUP(D151,'Danh mục'!$A$4:$C$13,3,FALSE),0))</f>
        <v/>
      </c>
      <c r="H151" s="7">
        <f>IF(F151="","",F151*G151)</f>
        <v/>
      </c>
      <c r="I151" s="8">
        <f>IF(F151="","",IF(F151&gt;=50,5%,IF(F151&gt;=20,2%,0)))</f>
        <v/>
      </c>
      <c r="J151" s="7">
        <f>IF(H151="","",ROUND(H151*I151,0))</f>
        <v/>
      </c>
      <c r="K151" s="7">
        <f>IF(H151="","",ROUND((H151-J151)*'Danh mục'!$F$3/100,0))</f>
        <v/>
      </c>
      <c r="L151" s="7">
        <f>IF(H151="","",H151-J151+K151)</f>
        <v/>
      </c>
      <c r="M151">
        <f>IF(A151="","",MONTH(A151))</f>
        <v/>
      </c>
    </row>
    <row r="152" spans="1:13">
      <c r="A152" s="6"/>
      <c r="B152" s="4"/>
      <c r="C152" s="4"/>
      <c r="D152" s="4"/>
      <c r="E152">
        <f>IF(D152="","",IFERROR(VLOOKUP(D152,'Danh mục'!$A$4:$C$13,2,FALSE),"Không rõ mã"))</f>
        <v/>
      </c>
      <c r="F152" s="3"/>
      <c r="G152" s="7">
        <f>IF(D152="","",IFERROR(VLOOKUP(D152,'Danh mục'!$A$4:$C$13,3,FALSE),0))</f>
        <v/>
      </c>
      <c r="H152" s="7">
        <f>IF(F152="","",F152*G152)</f>
        <v/>
      </c>
      <c r="I152" s="8">
        <f>IF(F152="","",IF(F152&gt;=50,5%,IF(F152&gt;=20,2%,0)))</f>
        <v/>
      </c>
      <c r="J152" s="7">
        <f>IF(H152="","",ROUND(H152*I152,0))</f>
        <v/>
      </c>
      <c r="K152" s="7">
        <f>IF(H152="","",ROUND((H152-J152)*'Danh mục'!$F$3/100,0))</f>
        <v/>
      </c>
      <c r="L152" s="7">
        <f>IF(H152="","",H152-J152+K152)</f>
        <v/>
      </c>
      <c r="M152">
        <f>IF(A152="","",MONTH(A152))</f>
        <v/>
      </c>
    </row>
    <row r="153" spans="1:13">
      <c r="A153" s="6"/>
      <c r="B153" s="4"/>
      <c r="C153" s="4"/>
      <c r="D153" s="4"/>
      <c r="E153">
        <f>IF(D153="","",IFERROR(VLOOKUP(D153,'Danh mục'!$A$4:$C$13,2,FALSE),"Không rõ mã"))</f>
        <v/>
      </c>
      <c r="F153" s="3"/>
      <c r="G153" s="7">
        <f>IF(D153="","",IFERROR(VLOOKUP(D153,'Danh mục'!$A$4:$C$13,3,FALSE),0))</f>
        <v/>
      </c>
      <c r="H153" s="7">
        <f>IF(F153="","",F153*G153)</f>
        <v/>
      </c>
      <c r="I153" s="8">
        <f>IF(F153="","",IF(F153&gt;=50,5%,IF(F153&gt;=20,2%,0)))</f>
        <v/>
      </c>
      <c r="J153" s="7">
        <f>IF(H153="","",ROUND(H153*I153,0))</f>
        <v/>
      </c>
      <c r="K153" s="7">
        <f>IF(H153="","",ROUND((H153-J153)*'Danh mục'!$F$3/100,0))</f>
        <v/>
      </c>
      <c r="L153" s="7">
        <f>IF(H153="","",H153-J153+K153)</f>
        <v/>
      </c>
      <c r="M153">
        <f>IF(A153="","",MONTH(A153))</f>
        <v/>
      </c>
    </row>
    <row r="154" spans="1:13">
      <c r="A154" s="6"/>
      <c r="B154" s="4"/>
      <c r="C154" s="4"/>
      <c r="D154" s="4"/>
      <c r="E154">
        <f>IF(D154="","",IFERROR(VLOOKUP(D154,'Danh mục'!$A$4:$C$13,2,FALSE),"Không rõ mã"))</f>
        <v/>
      </c>
      <c r="F154" s="3"/>
      <c r="G154" s="7">
        <f>IF(D154="","",IFERROR(VLOOKUP(D154,'Danh mục'!$A$4:$C$13,3,FALSE),0))</f>
        <v/>
      </c>
      <c r="H154" s="7">
        <f>IF(F154="","",F154*G154)</f>
        <v/>
      </c>
      <c r="I154" s="8">
        <f>IF(F154="","",IF(F154&gt;=50,5%,IF(F154&gt;=20,2%,0)))</f>
        <v/>
      </c>
      <c r="J154" s="7">
        <f>IF(H154="","",ROUND(H154*I154,0))</f>
        <v/>
      </c>
      <c r="K154" s="7">
        <f>IF(H154="","",ROUND((H154-J154)*'Danh mục'!$F$3/100,0))</f>
        <v/>
      </c>
      <c r="L154" s="7">
        <f>IF(H154="","",H154-J154+K154)</f>
        <v/>
      </c>
      <c r="M154">
        <f>IF(A154="","",MONTH(A154))</f>
        <v/>
      </c>
    </row>
    <row r="155" spans="1:13">
      <c r="A155" s="6"/>
      <c r="B155" s="4"/>
      <c r="C155" s="4"/>
      <c r="D155" s="4"/>
      <c r="E155">
        <f>IF(D155="","",IFERROR(VLOOKUP(D155,'Danh mục'!$A$4:$C$13,2,FALSE),"Không rõ mã"))</f>
        <v/>
      </c>
      <c r="F155" s="3"/>
      <c r="G155" s="7">
        <f>IF(D155="","",IFERROR(VLOOKUP(D155,'Danh mục'!$A$4:$C$13,3,FALSE),0))</f>
        <v/>
      </c>
      <c r="H155" s="7">
        <f>IF(F155="","",F155*G155)</f>
        <v/>
      </c>
      <c r="I155" s="8">
        <f>IF(F155="","",IF(F155&gt;=50,5%,IF(F155&gt;=20,2%,0)))</f>
        <v/>
      </c>
      <c r="J155" s="7">
        <f>IF(H155="","",ROUND(H155*I155,0))</f>
        <v/>
      </c>
      <c r="K155" s="7">
        <f>IF(H155="","",ROUND((H155-J155)*'Danh mục'!$F$3/100,0))</f>
        <v/>
      </c>
      <c r="L155" s="7">
        <f>IF(H155="","",H155-J155+K155)</f>
        <v/>
      </c>
      <c r="M155">
        <f>IF(A155="","",MONTH(A155))</f>
        <v/>
      </c>
    </row>
    <row r="156" spans="1:13">
      <c r="A156" s="6"/>
      <c r="B156" s="4"/>
      <c r="C156" s="4"/>
      <c r="D156" s="4"/>
      <c r="E156">
        <f>IF(D156="","",IFERROR(VLOOKUP(D156,'Danh mục'!$A$4:$C$13,2,FALSE),"Không rõ mã"))</f>
        <v/>
      </c>
      <c r="F156" s="3"/>
      <c r="G156" s="7">
        <f>IF(D156="","",IFERROR(VLOOKUP(D156,'Danh mục'!$A$4:$C$13,3,FALSE),0))</f>
        <v/>
      </c>
      <c r="H156" s="7">
        <f>IF(F156="","",F156*G156)</f>
        <v/>
      </c>
      <c r="I156" s="8">
        <f>IF(F156="","",IF(F156&gt;=50,5%,IF(F156&gt;=20,2%,0)))</f>
        <v/>
      </c>
      <c r="J156" s="7">
        <f>IF(H156="","",ROUND(H156*I156,0))</f>
        <v/>
      </c>
      <c r="K156" s="7">
        <f>IF(H156="","",ROUND((H156-J156)*'Danh mục'!$F$3/100,0))</f>
        <v/>
      </c>
      <c r="L156" s="7">
        <f>IF(H156="","",H156-J156+K156)</f>
        <v/>
      </c>
      <c r="M156">
        <f>IF(A156="","",MONTH(A156))</f>
        <v/>
      </c>
    </row>
    <row r="157" spans="1:13">
      <c r="A157" s="6"/>
      <c r="B157" s="4"/>
      <c r="C157" s="4"/>
      <c r="D157" s="4"/>
      <c r="E157">
        <f>IF(D157="","",IFERROR(VLOOKUP(D157,'Danh mục'!$A$4:$C$13,2,FALSE),"Không rõ mã"))</f>
        <v/>
      </c>
      <c r="F157" s="3"/>
      <c r="G157" s="7">
        <f>IF(D157="","",IFERROR(VLOOKUP(D157,'Danh mục'!$A$4:$C$13,3,FALSE),0))</f>
        <v/>
      </c>
      <c r="H157" s="7">
        <f>IF(F157="","",F157*G157)</f>
        <v/>
      </c>
      <c r="I157" s="8">
        <f>IF(F157="","",IF(F157&gt;=50,5%,IF(F157&gt;=20,2%,0)))</f>
        <v/>
      </c>
      <c r="J157" s="7">
        <f>IF(H157="","",ROUND(H157*I157,0))</f>
        <v/>
      </c>
      <c r="K157" s="7">
        <f>IF(H157="","",ROUND((H157-J157)*'Danh mục'!$F$3/100,0))</f>
        <v/>
      </c>
      <c r="L157" s="7">
        <f>IF(H157="","",H157-J157+K157)</f>
        <v/>
      </c>
      <c r="M157">
        <f>IF(A157="","",MONTH(A157))</f>
        <v/>
      </c>
    </row>
    <row r="158" spans="1:13">
      <c r="A158" s="6"/>
      <c r="B158" s="4"/>
      <c r="C158" s="4"/>
      <c r="D158" s="4"/>
      <c r="E158">
        <f>IF(D158="","",IFERROR(VLOOKUP(D158,'Danh mục'!$A$4:$C$13,2,FALSE),"Không rõ mã"))</f>
        <v/>
      </c>
      <c r="F158" s="3"/>
      <c r="G158" s="7">
        <f>IF(D158="","",IFERROR(VLOOKUP(D158,'Danh mục'!$A$4:$C$13,3,FALSE),0))</f>
        <v/>
      </c>
      <c r="H158" s="7">
        <f>IF(F158="","",F158*G158)</f>
        <v/>
      </c>
      <c r="I158" s="8">
        <f>IF(F158="","",IF(F158&gt;=50,5%,IF(F158&gt;=20,2%,0)))</f>
        <v/>
      </c>
      <c r="J158" s="7">
        <f>IF(H158="","",ROUND(H158*I158,0))</f>
        <v/>
      </c>
      <c r="K158" s="7">
        <f>IF(H158="","",ROUND((H158-J158)*'Danh mục'!$F$3/100,0))</f>
        <v/>
      </c>
      <c r="L158" s="7">
        <f>IF(H158="","",H158-J158+K158)</f>
        <v/>
      </c>
      <c r="M158">
        <f>IF(A158="","",MONTH(A158))</f>
        <v/>
      </c>
    </row>
    <row r="159" spans="1:13">
      <c r="A159" s="6"/>
      <c r="B159" s="4"/>
      <c r="C159" s="4"/>
      <c r="D159" s="4"/>
      <c r="E159">
        <f>IF(D159="","",IFERROR(VLOOKUP(D159,'Danh mục'!$A$4:$C$13,2,FALSE),"Không rõ mã"))</f>
        <v/>
      </c>
      <c r="F159" s="3"/>
      <c r="G159" s="7">
        <f>IF(D159="","",IFERROR(VLOOKUP(D159,'Danh mục'!$A$4:$C$13,3,FALSE),0))</f>
        <v/>
      </c>
      <c r="H159" s="7">
        <f>IF(F159="","",F159*G159)</f>
        <v/>
      </c>
      <c r="I159" s="8">
        <f>IF(F159="","",IF(F159&gt;=50,5%,IF(F159&gt;=20,2%,0)))</f>
        <v/>
      </c>
      <c r="J159" s="7">
        <f>IF(H159="","",ROUND(H159*I159,0))</f>
        <v/>
      </c>
      <c r="K159" s="7">
        <f>IF(H159="","",ROUND((H159-J159)*'Danh mục'!$F$3/100,0))</f>
        <v/>
      </c>
      <c r="L159" s="7">
        <f>IF(H159="","",H159-J159+K159)</f>
        <v/>
      </c>
      <c r="M159">
        <f>IF(A159="","",MONTH(A159))</f>
        <v/>
      </c>
    </row>
    <row r="160" spans="1:13">
      <c r="A160" s="6"/>
      <c r="B160" s="4"/>
      <c r="C160" s="4"/>
      <c r="D160" s="4"/>
      <c r="E160">
        <f>IF(D160="","",IFERROR(VLOOKUP(D160,'Danh mục'!$A$4:$C$13,2,FALSE),"Không rõ mã"))</f>
        <v/>
      </c>
      <c r="F160" s="3"/>
      <c r="G160" s="7">
        <f>IF(D160="","",IFERROR(VLOOKUP(D160,'Danh mục'!$A$4:$C$13,3,FALSE),0))</f>
        <v/>
      </c>
      <c r="H160" s="7">
        <f>IF(F160="","",F160*G160)</f>
        <v/>
      </c>
      <c r="I160" s="8">
        <f>IF(F160="","",IF(F160&gt;=50,5%,IF(F160&gt;=20,2%,0)))</f>
        <v/>
      </c>
      <c r="J160" s="7">
        <f>IF(H160="","",ROUND(H160*I160,0))</f>
        <v/>
      </c>
      <c r="K160" s="7">
        <f>IF(H160="","",ROUND((H160-J160)*'Danh mục'!$F$3/100,0))</f>
        <v/>
      </c>
      <c r="L160" s="7">
        <f>IF(H160="","",H160-J160+K160)</f>
        <v/>
      </c>
      <c r="M160">
        <f>IF(A160="","",MONTH(A160))</f>
        <v/>
      </c>
    </row>
    <row r="161" spans="1:13">
      <c r="A161" s="6"/>
      <c r="B161" s="4"/>
      <c r="C161" s="4"/>
      <c r="D161" s="4"/>
      <c r="E161">
        <f>IF(D161="","",IFERROR(VLOOKUP(D161,'Danh mục'!$A$4:$C$13,2,FALSE),"Không rõ mã"))</f>
        <v/>
      </c>
      <c r="F161" s="3"/>
      <c r="G161" s="7">
        <f>IF(D161="","",IFERROR(VLOOKUP(D161,'Danh mục'!$A$4:$C$13,3,FALSE),0))</f>
        <v/>
      </c>
      <c r="H161" s="7">
        <f>IF(F161="","",F161*G161)</f>
        <v/>
      </c>
      <c r="I161" s="8">
        <f>IF(F161="","",IF(F161&gt;=50,5%,IF(F161&gt;=20,2%,0)))</f>
        <v/>
      </c>
      <c r="J161" s="7">
        <f>IF(H161="","",ROUND(H161*I161,0))</f>
        <v/>
      </c>
      <c r="K161" s="7">
        <f>IF(H161="","",ROUND((H161-J161)*'Danh mục'!$F$3/100,0))</f>
        <v/>
      </c>
      <c r="L161" s="7">
        <f>IF(H161="","",H161-J161+K161)</f>
        <v/>
      </c>
      <c r="M161">
        <f>IF(A161="","",MONTH(A161))</f>
        <v/>
      </c>
    </row>
    <row r="162" spans="1:13">
      <c r="A162" s="6"/>
      <c r="B162" s="4"/>
      <c r="C162" s="4"/>
      <c r="D162" s="4"/>
      <c r="E162">
        <f>IF(D162="","",IFERROR(VLOOKUP(D162,'Danh mục'!$A$4:$C$13,2,FALSE),"Không rõ mã"))</f>
        <v/>
      </c>
      <c r="F162" s="3"/>
      <c r="G162" s="7">
        <f>IF(D162="","",IFERROR(VLOOKUP(D162,'Danh mục'!$A$4:$C$13,3,FALSE),0))</f>
        <v/>
      </c>
      <c r="H162" s="7">
        <f>IF(F162="","",F162*G162)</f>
        <v/>
      </c>
      <c r="I162" s="8">
        <f>IF(F162="","",IF(F162&gt;=50,5%,IF(F162&gt;=20,2%,0)))</f>
        <v/>
      </c>
      <c r="J162" s="7">
        <f>IF(H162="","",ROUND(H162*I162,0))</f>
        <v/>
      </c>
      <c r="K162" s="7">
        <f>IF(H162="","",ROUND((H162-J162)*'Danh mục'!$F$3/100,0))</f>
        <v/>
      </c>
      <c r="L162" s="7">
        <f>IF(H162="","",H162-J162+K162)</f>
        <v/>
      </c>
      <c r="M162">
        <f>IF(A162="","",MONTH(A162))</f>
        <v/>
      </c>
    </row>
    <row r="163" spans="1:13">
      <c r="A163" s="6"/>
      <c r="B163" s="4"/>
      <c r="C163" s="4"/>
      <c r="D163" s="4"/>
      <c r="E163">
        <f>IF(D163="","",IFERROR(VLOOKUP(D163,'Danh mục'!$A$4:$C$13,2,FALSE),"Không rõ mã"))</f>
        <v/>
      </c>
      <c r="F163" s="3"/>
      <c r="G163" s="7">
        <f>IF(D163="","",IFERROR(VLOOKUP(D163,'Danh mục'!$A$4:$C$13,3,FALSE),0))</f>
        <v/>
      </c>
      <c r="H163" s="7">
        <f>IF(F163="","",F163*G163)</f>
        <v/>
      </c>
      <c r="I163" s="8">
        <f>IF(F163="","",IF(F163&gt;=50,5%,IF(F163&gt;=20,2%,0)))</f>
        <v/>
      </c>
      <c r="J163" s="7">
        <f>IF(H163="","",ROUND(H163*I163,0))</f>
        <v/>
      </c>
      <c r="K163" s="7">
        <f>IF(H163="","",ROUND((H163-J163)*'Danh mục'!$F$3/100,0))</f>
        <v/>
      </c>
      <c r="L163" s="7">
        <f>IF(H163="","",H163-J163+K163)</f>
        <v/>
      </c>
      <c r="M163">
        <f>IF(A163="","",MONTH(A163))</f>
        <v/>
      </c>
    </row>
    <row r="164" spans="1:13">
      <c r="A164" s="6"/>
      <c r="B164" s="4"/>
      <c r="C164" s="4"/>
      <c r="D164" s="4"/>
      <c r="E164">
        <f>IF(D164="","",IFERROR(VLOOKUP(D164,'Danh mục'!$A$4:$C$13,2,FALSE),"Không rõ mã"))</f>
        <v/>
      </c>
      <c r="F164" s="3"/>
      <c r="G164" s="7">
        <f>IF(D164="","",IFERROR(VLOOKUP(D164,'Danh mục'!$A$4:$C$13,3,FALSE),0))</f>
        <v/>
      </c>
      <c r="H164" s="7">
        <f>IF(F164="","",F164*G164)</f>
        <v/>
      </c>
      <c r="I164" s="8">
        <f>IF(F164="","",IF(F164&gt;=50,5%,IF(F164&gt;=20,2%,0)))</f>
        <v/>
      </c>
      <c r="J164" s="7">
        <f>IF(H164="","",ROUND(H164*I164,0))</f>
        <v/>
      </c>
      <c r="K164" s="7">
        <f>IF(H164="","",ROUND((H164-J164)*'Danh mục'!$F$3/100,0))</f>
        <v/>
      </c>
      <c r="L164" s="7">
        <f>IF(H164="","",H164-J164+K164)</f>
        <v/>
      </c>
      <c r="M164">
        <f>IF(A164="","",MONTH(A164))</f>
        <v/>
      </c>
    </row>
    <row r="165" spans="1:13">
      <c r="A165" s="6"/>
      <c r="B165" s="4"/>
      <c r="C165" s="4"/>
      <c r="D165" s="4"/>
      <c r="E165">
        <f>IF(D165="","",IFERROR(VLOOKUP(D165,'Danh mục'!$A$4:$C$13,2,FALSE),"Không rõ mã"))</f>
        <v/>
      </c>
      <c r="F165" s="3"/>
      <c r="G165" s="7">
        <f>IF(D165="","",IFERROR(VLOOKUP(D165,'Danh mục'!$A$4:$C$13,3,FALSE),0))</f>
        <v/>
      </c>
      <c r="H165" s="7">
        <f>IF(F165="","",F165*G165)</f>
        <v/>
      </c>
      <c r="I165" s="8">
        <f>IF(F165="","",IF(F165&gt;=50,5%,IF(F165&gt;=20,2%,0)))</f>
        <v/>
      </c>
      <c r="J165" s="7">
        <f>IF(H165="","",ROUND(H165*I165,0))</f>
        <v/>
      </c>
      <c r="K165" s="7">
        <f>IF(H165="","",ROUND((H165-J165)*'Danh mục'!$F$3/100,0))</f>
        <v/>
      </c>
      <c r="L165" s="7">
        <f>IF(H165="","",H165-J165+K165)</f>
        <v/>
      </c>
      <c r="M165">
        <f>IF(A165="","",MONTH(A165))</f>
        <v/>
      </c>
    </row>
    <row r="166" spans="1:13">
      <c r="A166" s="6"/>
      <c r="B166" s="4"/>
      <c r="C166" s="4"/>
      <c r="D166" s="4"/>
      <c r="E166">
        <f>IF(D166="","",IFERROR(VLOOKUP(D166,'Danh mục'!$A$4:$C$13,2,FALSE),"Không rõ mã"))</f>
        <v/>
      </c>
      <c r="F166" s="3"/>
      <c r="G166" s="7">
        <f>IF(D166="","",IFERROR(VLOOKUP(D166,'Danh mục'!$A$4:$C$13,3,FALSE),0))</f>
        <v/>
      </c>
      <c r="H166" s="7">
        <f>IF(F166="","",F166*G166)</f>
        <v/>
      </c>
      <c r="I166" s="8">
        <f>IF(F166="","",IF(F166&gt;=50,5%,IF(F166&gt;=20,2%,0)))</f>
        <v/>
      </c>
      <c r="J166" s="7">
        <f>IF(H166="","",ROUND(H166*I166,0))</f>
        <v/>
      </c>
      <c r="K166" s="7">
        <f>IF(H166="","",ROUND((H166-J166)*'Danh mục'!$F$3/100,0))</f>
        <v/>
      </c>
      <c r="L166" s="7">
        <f>IF(H166="","",H166-J166+K166)</f>
        <v/>
      </c>
      <c r="M166">
        <f>IF(A166="","",MONTH(A166))</f>
        <v/>
      </c>
    </row>
    <row r="167" spans="1:13">
      <c r="A167" s="6"/>
      <c r="B167" s="4"/>
      <c r="C167" s="4"/>
      <c r="D167" s="4"/>
      <c r="E167">
        <f>IF(D167="","",IFERROR(VLOOKUP(D167,'Danh mục'!$A$4:$C$13,2,FALSE),"Không rõ mã"))</f>
        <v/>
      </c>
      <c r="F167" s="3"/>
      <c r="G167" s="7">
        <f>IF(D167="","",IFERROR(VLOOKUP(D167,'Danh mục'!$A$4:$C$13,3,FALSE),0))</f>
        <v/>
      </c>
      <c r="H167" s="7">
        <f>IF(F167="","",F167*G167)</f>
        <v/>
      </c>
      <c r="I167" s="8">
        <f>IF(F167="","",IF(F167&gt;=50,5%,IF(F167&gt;=20,2%,0)))</f>
        <v/>
      </c>
      <c r="J167" s="7">
        <f>IF(H167="","",ROUND(H167*I167,0))</f>
        <v/>
      </c>
      <c r="K167" s="7">
        <f>IF(H167="","",ROUND((H167-J167)*'Danh mục'!$F$3/100,0))</f>
        <v/>
      </c>
      <c r="L167" s="7">
        <f>IF(H167="","",H167-J167+K167)</f>
        <v/>
      </c>
      <c r="M167">
        <f>IF(A167="","",MONTH(A167))</f>
        <v/>
      </c>
    </row>
    <row r="168" spans="1:13">
      <c r="A168" s="6"/>
      <c r="B168" s="4"/>
      <c r="C168" s="4"/>
      <c r="D168" s="4"/>
      <c r="E168">
        <f>IF(D168="","",IFERROR(VLOOKUP(D168,'Danh mục'!$A$4:$C$13,2,FALSE),"Không rõ mã"))</f>
        <v/>
      </c>
      <c r="F168" s="3"/>
      <c r="G168" s="7">
        <f>IF(D168="","",IFERROR(VLOOKUP(D168,'Danh mục'!$A$4:$C$13,3,FALSE),0))</f>
        <v/>
      </c>
      <c r="H168" s="7">
        <f>IF(F168="","",F168*G168)</f>
        <v/>
      </c>
      <c r="I168" s="8">
        <f>IF(F168="","",IF(F168&gt;=50,5%,IF(F168&gt;=20,2%,0)))</f>
        <v/>
      </c>
      <c r="J168" s="7">
        <f>IF(H168="","",ROUND(H168*I168,0))</f>
        <v/>
      </c>
      <c r="K168" s="7">
        <f>IF(H168="","",ROUND((H168-J168)*'Danh mục'!$F$3/100,0))</f>
        <v/>
      </c>
      <c r="L168" s="7">
        <f>IF(H168="","",H168-J168+K168)</f>
        <v/>
      </c>
      <c r="M168">
        <f>IF(A168="","",MONTH(A168))</f>
        <v/>
      </c>
    </row>
    <row r="169" spans="1:13">
      <c r="A169" s="6"/>
      <c r="B169" s="4"/>
      <c r="C169" s="4"/>
      <c r="D169" s="4"/>
      <c r="E169">
        <f>IF(D169="","",IFERROR(VLOOKUP(D169,'Danh mục'!$A$4:$C$13,2,FALSE),"Không rõ mã"))</f>
        <v/>
      </c>
      <c r="F169" s="3"/>
      <c r="G169" s="7">
        <f>IF(D169="","",IFERROR(VLOOKUP(D169,'Danh mục'!$A$4:$C$13,3,FALSE),0))</f>
        <v/>
      </c>
      <c r="H169" s="7">
        <f>IF(F169="","",F169*G169)</f>
        <v/>
      </c>
      <c r="I169" s="8">
        <f>IF(F169="","",IF(F169&gt;=50,5%,IF(F169&gt;=20,2%,0)))</f>
        <v/>
      </c>
      <c r="J169" s="7">
        <f>IF(H169="","",ROUND(H169*I169,0))</f>
        <v/>
      </c>
      <c r="K169" s="7">
        <f>IF(H169="","",ROUND((H169-J169)*'Danh mục'!$F$3/100,0))</f>
        <v/>
      </c>
      <c r="L169" s="7">
        <f>IF(H169="","",H169-J169+K169)</f>
        <v/>
      </c>
      <c r="M169">
        <f>IF(A169="","",MONTH(A169))</f>
        <v/>
      </c>
    </row>
    <row r="170" spans="1:13">
      <c r="A170" s="6"/>
      <c r="B170" s="4"/>
      <c r="C170" s="4"/>
      <c r="D170" s="4"/>
      <c r="E170">
        <f>IF(D170="","",IFERROR(VLOOKUP(D170,'Danh mục'!$A$4:$C$13,2,FALSE),"Không rõ mã"))</f>
        <v/>
      </c>
      <c r="F170" s="3"/>
      <c r="G170" s="7">
        <f>IF(D170="","",IFERROR(VLOOKUP(D170,'Danh mục'!$A$4:$C$13,3,FALSE),0))</f>
        <v/>
      </c>
      <c r="H170" s="7">
        <f>IF(F170="","",F170*G170)</f>
        <v/>
      </c>
      <c r="I170" s="8">
        <f>IF(F170="","",IF(F170&gt;=50,5%,IF(F170&gt;=20,2%,0)))</f>
        <v/>
      </c>
      <c r="J170" s="7">
        <f>IF(H170="","",ROUND(H170*I170,0))</f>
        <v/>
      </c>
      <c r="K170" s="7">
        <f>IF(H170="","",ROUND((H170-J170)*'Danh mục'!$F$3/100,0))</f>
        <v/>
      </c>
      <c r="L170" s="7">
        <f>IF(H170="","",H170-J170+K170)</f>
        <v/>
      </c>
      <c r="M170">
        <f>IF(A170="","",MONTH(A170))</f>
        <v/>
      </c>
    </row>
    <row r="171" spans="1:13">
      <c r="A171" s="6"/>
      <c r="B171" s="4"/>
      <c r="C171" s="4"/>
      <c r="D171" s="4"/>
      <c r="E171">
        <f>IF(D171="","",IFERROR(VLOOKUP(D171,'Danh mục'!$A$4:$C$13,2,FALSE),"Không rõ mã"))</f>
        <v/>
      </c>
      <c r="F171" s="3"/>
      <c r="G171" s="7">
        <f>IF(D171="","",IFERROR(VLOOKUP(D171,'Danh mục'!$A$4:$C$13,3,FALSE),0))</f>
        <v/>
      </c>
      <c r="H171" s="7">
        <f>IF(F171="","",F171*G171)</f>
        <v/>
      </c>
      <c r="I171" s="8">
        <f>IF(F171="","",IF(F171&gt;=50,5%,IF(F171&gt;=20,2%,0)))</f>
        <v/>
      </c>
      <c r="J171" s="7">
        <f>IF(H171="","",ROUND(H171*I171,0))</f>
        <v/>
      </c>
      <c r="K171" s="7">
        <f>IF(H171="","",ROUND((H171-J171)*'Danh mục'!$F$3/100,0))</f>
        <v/>
      </c>
      <c r="L171" s="7">
        <f>IF(H171="","",H171-J171+K171)</f>
        <v/>
      </c>
      <c r="M171">
        <f>IF(A171="","",MONTH(A171))</f>
        <v/>
      </c>
    </row>
    <row r="172" spans="1:13">
      <c r="A172" s="6"/>
      <c r="B172" s="4"/>
      <c r="C172" s="4"/>
      <c r="D172" s="4"/>
      <c r="E172">
        <f>IF(D172="","",IFERROR(VLOOKUP(D172,'Danh mục'!$A$4:$C$13,2,FALSE),"Không rõ mã"))</f>
        <v/>
      </c>
      <c r="F172" s="3"/>
      <c r="G172" s="7">
        <f>IF(D172="","",IFERROR(VLOOKUP(D172,'Danh mục'!$A$4:$C$13,3,FALSE),0))</f>
        <v/>
      </c>
      <c r="H172" s="7">
        <f>IF(F172="","",F172*G172)</f>
        <v/>
      </c>
      <c r="I172" s="8">
        <f>IF(F172="","",IF(F172&gt;=50,5%,IF(F172&gt;=20,2%,0)))</f>
        <v/>
      </c>
      <c r="J172" s="7">
        <f>IF(H172="","",ROUND(H172*I172,0))</f>
        <v/>
      </c>
      <c r="K172" s="7">
        <f>IF(H172="","",ROUND((H172-J172)*'Danh mục'!$F$3/100,0))</f>
        <v/>
      </c>
      <c r="L172" s="7">
        <f>IF(H172="","",H172-J172+K172)</f>
        <v/>
      </c>
      <c r="M172">
        <f>IF(A172="","",MONTH(A172))</f>
        <v/>
      </c>
    </row>
    <row r="173" spans="1:13">
      <c r="A173" s="6"/>
      <c r="B173" s="4"/>
      <c r="C173" s="4"/>
      <c r="D173" s="4"/>
      <c r="E173">
        <f>IF(D173="","",IFERROR(VLOOKUP(D173,'Danh mục'!$A$4:$C$13,2,FALSE),"Không rõ mã"))</f>
        <v/>
      </c>
      <c r="F173" s="3"/>
      <c r="G173" s="7">
        <f>IF(D173="","",IFERROR(VLOOKUP(D173,'Danh mục'!$A$4:$C$13,3,FALSE),0))</f>
        <v/>
      </c>
      <c r="H173" s="7">
        <f>IF(F173="","",F173*G173)</f>
        <v/>
      </c>
      <c r="I173" s="8">
        <f>IF(F173="","",IF(F173&gt;=50,5%,IF(F173&gt;=20,2%,0)))</f>
        <v/>
      </c>
      <c r="J173" s="7">
        <f>IF(H173="","",ROUND(H173*I173,0))</f>
        <v/>
      </c>
      <c r="K173" s="7">
        <f>IF(H173="","",ROUND((H173-J173)*'Danh mục'!$F$3/100,0))</f>
        <v/>
      </c>
      <c r="L173" s="7">
        <f>IF(H173="","",H173-J173+K173)</f>
        <v/>
      </c>
      <c r="M173">
        <f>IF(A173="","",MONTH(A173))</f>
        <v/>
      </c>
    </row>
    <row r="174" spans="1:13">
      <c r="A174" s="6"/>
      <c r="B174" s="4"/>
      <c r="C174" s="4"/>
      <c r="D174" s="4"/>
      <c r="E174">
        <f>IF(D174="","",IFERROR(VLOOKUP(D174,'Danh mục'!$A$4:$C$13,2,FALSE),"Không rõ mã"))</f>
        <v/>
      </c>
      <c r="F174" s="3"/>
      <c r="G174" s="7">
        <f>IF(D174="","",IFERROR(VLOOKUP(D174,'Danh mục'!$A$4:$C$13,3,FALSE),0))</f>
        <v/>
      </c>
      <c r="H174" s="7">
        <f>IF(F174="","",F174*G174)</f>
        <v/>
      </c>
      <c r="I174" s="8">
        <f>IF(F174="","",IF(F174&gt;=50,5%,IF(F174&gt;=20,2%,0)))</f>
        <v/>
      </c>
      <c r="J174" s="7">
        <f>IF(H174="","",ROUND(H174*I174,0))</f>
        <v/>
      </c>
      <c r="K174" s="7">
        <f>IF(H174="","",ROUND((H174-J174)*'Danh mục'!$F$3/100,0))</f>
        <v/>
      </c>
      <c r="L174" s="7">
        <f>IF(H174="","",H174-J174+K174)</f>
        <v/>
      </c>
      <c r="M174">
        <f>IF(A174="","",MONTH(A174))</f>
        <v/>
      </c>
    </row>
    <row r="175" spans="1:13">
      <c r="A175" s="6"/>
      <c r="B175" s="4"/>
      <c r="C175" s="4"/>
      <c r="D175" s="4"/>
      <c r="E175">
        <f>IF(D175="","",IFERROR(VLOOKUP(D175,'Danh mục'!$A$4:$C$13,2,FALSE),"Không rõ mã"))</f>
        <v/>
      </c>
      <c r="F175" s="3"/>
      <c r="G175" s="7">
        <f>IF(D175="","",IFERROR(VLOOKUP(D175,'Danh mục'!$A$4:$C$13,3,FALSE),0))</f>
        <v/>
      </c>
      <c r="H175" s="7">
        <f>IF(F175="","",F175*G175)</f>
        <v/>
      </c>
      <c r="I175" s="8">
        <f>IF(F175="","",IF(F175&gt;=50,5%,IF(F175&gt;=20,2%,0)))</f>
        <v/>
      </c>
      <c r="J175" s="7">
        <f>IF(H175="","",ROUND(H175*I175,0))</f>
        <v/>
      </c>
      <c r="K175" s="7">
        <f>IF(H175="","",ROUND((H175-J175)*'Danh mục'!$F$3/100,0))</f>
        <v/>
      </c>
      <c r="L175" s="7">
        <f>IF(H175="","",H175-J175+K175)</f>
        <v/>
      </c>
      <c r="M175">
        <f>IF(A175="","",MONTH(A175))</f>
        <v/>
      </c>
    </row>
    <row r="176" spans="1:13">
      <c r="A176" s="6"/>
      <c r="B176" s="4"/>
      <c r="C176" s="4"/>
      <c r="D176" s="4"/>
      <c r="E176">
        <f>IF(D176="","",IFERROR(VLOOKUP(D176,'Danh mục'!$A$4:$C$13,2,FALSE),"Không rõ mã"))</f>
        <v/>
      </c>
      <c r="F176" s="3"/>
      <c r="G176" s="7">
        <f>IF(D176="","",IFERROR(VLOOKUP(D176,'Danh mục'!$A$4:$C$13,3,FALSE),0))</f>
        <v/>
      </c>
      <c r="H176" s="7">
        <f>IF(F176="","",F176*G176)</f>
        <v/>
      </c>
      <c r="I176" s="8">
        <f>IF(F176="","",IF(F176&gt;=50,5%,IF(F176&gt;=20,2%,0)))</f>
        <v/>
      </c>
      <c r="J176" s="7">
        <f>IF(H176="","",ROUND(H176*I176,0))</f>
        <v/>
      </c>
      <c r="K176" s="7">
        <f>IF(H176="","",ROUND((H176-J176)*'Danh mục'!$F$3/100,0))</f>
        <v/>
      </c>
      <c r="L176" s="7">
        <f>IF(H176="","",H176-J176+K176)</f>
        <v/>
      </c>
      <c r="M176">
        <f>IF(A176="","",MONTH(A176))</f>
        <v/>
      </c>
    </row>
    <row r="177" spans="1:13">
      <c r="A177" s="6"/>
      <c r="B177" s="4"/>
      <c r="C177" s="4"/>
      <c r="D177" s="4"/>
      <c r="E177">
        <f>IF(D177="","",IFERROR(VLOOKUP(D177,'Danh mục'!$A$4:$C$13,2,FALSE),"Không rõ mã"))</f>
        <v/>
      </c>
      <c r="F177" s="3"/>
      <c r="G177" s="7">
        <f>IF(D177="","",IFERROR(VLOOKUP(D177,'Danh mục'!$A$4:$C$13,3,FALSE),0))</f>
        <v/>
      </c>
      <c r="H177" s="7">
        <f>IF(F177="","",F177*G177)</f>
        <v/>
      </c>
      <c r="I177" s="8">
        <f>IF(F177="","",IF(F177&gt;=50,5%,IF(F177&gt;=20,2%,0)))</f>
        <v/>
      </c>
      <c r="J177" s="7">
        <f>IF(H177="","",ROUND(H177*I177,0))</f>
        <v/>
      </c>
      <c r="K177" s="7">
        <f>IF(H177="","",ROUND((H177-J177)*'Danh mục'!$F$3/100,0))</f>
        <v/>
      </c>
      <c r="L177" s="7">
        <f>IF(H177="","",H177-J177+K177)</f>
        <v/>
      </c>
      <c r="M177">
        <f>IF(A177="","",MONTH(A177))</f>
        <v/>
      </c>
    </row>
    <row r="178" spans="1:13">
      <c r="A178" s="6"/>
      <c r="B178" s="4"/>
      <c r="C178" s="4"/>
      <c r="D178" s="4"/>
      <c r="E178">
        <f>IF(D178="","",IFERROR(VLOOKUP(D178,'Danh mục'!$A$4:$C$13,2,FALSE),"Không rõ mã"))</f>
        <v/>
      </c>
      <c r="F178" s="3"/>
      <c r="G178" s="7">
        <f>IF(D178="","",IFERROR(VLOOKUP(D178,'Danh mục'!$A$4:$C$13,3,FALSE),0))</f>
        <v/>
      </c>
      <c r="H178" s="7">
        <f>IF(F178="","",F178*G178)</f>
        <v/>
      </c>
      <c r="I178" s="8">
        <f>IF(F178="","",IF(F178&gt;=50,5%,IF(F178&gt;=20,2%,0)))</f>
        <v/>
      </c>
      <c r="J178" s="7">
        <f>IF(H178="","",ROUND(H178*I178,0))</f>
        <v/>
      </c>
      <c r="K178" s="7">
        <f>IF(H178="","",ROUND((H178-J178)*'Danh mục'!$F$3/100,0))</f>
        <v/>
      </c>
      <c r="L178" s="7">
        <f>IF(H178="","",H178-J178+K178)</f>
        <v/>
      </c>
      <c r="M178">
        <f>IF(A178="","",MONTH(A178))</f>
        <v/>
      </c>
    </row>
    <row r="179" spans="1:13">
      <c r="A179" s="6"/>
      <c r="B179" s="4"/>
      <c r="C179" s="4"/>
      <c r="D179" s="4"/>
      <c r="E179">
        <f>IF(D179="","",IFERROR(VLOOKUP(D179,'Danh mục'!$A$4:$C$13,2,FALSE),"Không rõ mã"))</f>
        <v/>
      </c>
      <c r="F179" s="3"/>
      <c r="G179" s="7">
        <f>IF(D179="","",IFERROR(VLOOKUP(D179,'Danh mục'!$A$4:$C$13,3,FALSE),0))</f>
        <v/>
      </c>
      <c r="H179" s="7">
        <f>IF(F179="","",F179*G179)</f>
        <v/>
      </c>
      <c r="I179" s="8">
        <f>IF(F179="","",IF(F179&gt;=50,5%,IF(F179&gt;=20,2%,0)))</f>
        <v/>
      </c>
      <c r="J179" s="7">
        <f>IF(H179="","",ROUND(H179*I179,0))</f>
        <v/>
      </c>
      <c r="K179" s="7">
        <f>IF(H179="","",ROUND((H179-J179)*'Danh mục'!$F$3/100,0))</f>
        <v/>
      </c>
      <c r="L179" s="7">
        <f>IF(H179="","",H179-J179+K179)</f>
        <v/>
      </c>
      <c r="M179">
        <f>IF(A179="","",MONTH(A179))</f>
        <v/>
      </c>
    </row>
    <row r="180" spans="1:13">
      <c r="A180" s="6"/>
      <c r="B180" s="4"/>
      <c r="C180" s="4"/>
      <c r="D180" s="4"/>
      <c r="E180">
        <f>IF(D180="","",IFERROR(VLOOKUP(D180,'Danh mục'!$A$4:$C$13,2,FALSE),"Không rõ mã"))</f>
        <v/>
      </c>
      <c r="F180" s="3"/>
      <c r="G180" s="7">
        <f>IF(D180="","",IFERROR(VLOOKUP(D180,'Danh mục'!$A$4:$C$13,3,FALSE),0))</f>
        <v/>
      </c>
      <c r="H180" s="7">
        <f>IF(F180="","",F180*G180)</f>
        <v/>
      </c>
      <c r="I180" s="8">
        <f>IF(F180="","",IF(F180&gt;=50,5%,IF(F180&gt;=20,2%,0)))</f>
        <v/>
      </c>
      <c r="J180" s="7">
        <f>IF(H180="","",ROUND(H180*I180,0))</f>
        <v/>
      </c>
      <c r="K180" s="7">
        <f>IF(H180="","",ROUND((H180-J180)*'Danh mục'!$F$3/100,0))</f>
        <v/>
      </c>
      <c r="L180" s="7">
        <f>IF(H180="","",H180-J180+K180)</f>
        <v/>
      </c>
      <c r="M180">
        <f>IF(A180="","",MONTH(A180))</f>
        <v/>
      </c>
    </row>
    <row r="181" spans="1:13">
      <c r="A181" s="6"/>
      <c r="B181" s="4"/>
      <c r="C181" s="4"/>
      <c r="D181" s="4"/>
      <c r="E181">
        <f>IF(D181="","",IFERROR(VLOOKUP(D181,'Danh mục'!$A$4:$C$13,2,FALSE),"Không rõ mã"))</f>
        <v/>
      </c>
      <c r="F181" s="3"/>
      <c r="G181" s="7">
        <f>IF(D181="","",IFERROR(VLOOKUP(D181,'Danh mục'!$A$4:$C$13,3,FALSE),0))</f>
        <v/>
      </c>
      <c r="H181" s="7">
        <f>IF(F181="","",F181*G181)</f>
        <v/>
      </c>
      <c r="I181" s="8">
        <f>IF(F181="","",IF(F181&gt;=50,5%,IF(F181&gt;=20,2%,0)))</f>
        <v/>
      </c>
      <c r="J181" s="7">
        <f>IF(H181="","",ROUND(H181*I181,0))</f>
        <v/>
      </c>
      <c r="K181" s="7">
        <f>IF(H181="","",ROUND((H181-J181)*'Danh mục'!$F$3/100,0))</f>
        <v/>
      </c>
      <c r="L181" s="7">
        <f>IF(H181="","",H181-J181+K181)</f>
        <v/>
      </c>
      <c r="M181">
        <f>IF(A181="","",MONTH(A181))</f>
        <v/>
      </c>
    </row>
    <row r="182" spans="1:13">
      <c r="A182" s="6"/>
      <c r="B182" s="4"/>
      <c r="C182" s="4"/>
      <c r="D182" s="4"/>
      <c r="E182">
        <f>IF(D182="","",IFERROR(VLOOKUP(D182,'Danh mục'!$A$4:$C$13,2,FALSE),"Không rõ mã"))</f>
        <v/>
      </c>
      <c r="F182" s="3"/>
      <c r="G182" s="7">
        <f>IF(D182="","",IFERROR(VLOOKUP(D182,'Danh mục'!$A$4:$C$13,3,FALSE),0))</f>
        <v/>
      </c>
      <c r="H182" s="7">
        <f>IF(F182="","",F182*G182)</f>
        <v/>
      </c>
      <c r="I182" s="8">
        <f>IF(F182="","",IF(F182&gt;=50,5%,IF(F182&gt;=20,2%,0)))</f>
        <v/>
      </c>
      <c r="J182" s="7">
        <f>IF(H182="","",ROUND(H182*I182,0))</f>
        <v/>
      </c>
      <c r="K182" s="7">
        <f>IF(H182="","",ROUND((H182-J182)*'Danh mục'!$F$3/100,0))</f>
        <v/>
      </c>
      <c r="L182" s="7">
        <f>IF(H182="","",H182-J182+K182)</f>
        <v/>
      </c>
      <c r="M182">
        <f>IF(A182="","",MONTH(A182))</f>
        <v/>
      </c>
    </row>
    <row r="183" spans="1:13">
      <c r="A183" s="6"/>
      <c r="B183" s="4"/>
      <c r="C183" s="4"/>
      <c r="D183" s="4"/>
      <c r="E183">
        <f>IF(D183="","",IFERROR(VLOOKUP(D183,'Danh mục'!$A$4:$C$13,2,FALSE),"Không rõ mã"))</f>
        <v/>
      </c>
      <c r="F183" s="3"/>
      <c r="G183" s="7">
        <f>IF(D183="","",IFERROR(VLOOKUP(D183,'Danh mục'!$A$4:$C$13,3,FALSE),0))</f>
        <v/>
      </c>
      <c r="H183" s="7">
        <f>IF(F183="","",F183*G183)</f>
        <v/>
      </c>
      <c r="I183" s="8">
        <f>IF(F183="","",IF(F183&gt;=50,5%,IF(F183&gt;=20,2%,0)))</f>
        <v/>
      </c>
      <c r="J183" s="7">
        <f>IF(H183="","",ROUND(H183*I183,0))</f>
        <v/>
      </c>
      <c r="K183" s="7">
        <f>IF(H183="","",ROUND((H183-J183)*'Danh mục'!$F$3/100,0))</f>
        <v/>
      </c>
      <c r="L183" s="7">
        <f>IF(H183="","",H183-J183+K183)</f>
        <v/>
      </c>
      <c r="M183">
        <f>IF(A183="","",MONTH(A183))</f>
        <v/>
      </c>
    </row>
    <row r="184" spans="1:13">
      <c r="A184" s="6"/>
      <c r="B184" s="4"/>
      <c r="C184" s="4"/>
      <c r="D184" s="4"/>
      <c r="E184">
        <f>IF(D184="","",IFERROR(VLOOKUP(D184,'Danh mục'!$A$4:$C$13,2,FALSE),"Không rõ mã"))</f>
        <v/>
      </c>
      <c r="F184" s="3"/>
      <c r="G184" s="7">
        <f>IF(D184="","",IFERROR(VLOOKUP(D184,'Danh mục'!$A$4:$C$13,3,FALSE),0))</f>
        <v/>
      </c>
      <c r="H184" s="7">
        <f>IF(F184="","",F184*G184)</f>
        <v/>
      </c>
      <c r="I184" s="8">
        <f>IF(F184="","",IF(F184&gt;=50,5%,IF(F184&gt;=20,2%,0)))</f>
        <v/>
      </c>
      <c r="J184" s="7">
        <f>IF(H184="","",ROUND(H184*I184,0))</f>
        <v/>
      </c>
      <c r="K184" s="7">
        <f>IF(H184="","",ROUND((H184-J184)*'Danh mục'!$F$3/100,0))</f>
        <v/>
      </c>
      <c r="L184" s="7">
        <f>IF(H184="","",H184-J184+K184)</f>
        <v/>
      </c>
      <c r="M184">
        <f>IF(A184="","",MONTH(A184))</f>
        <v/>
      </c>
    </row>
    <row r="185" spans="1:13">
      <c r="A185" s="6"/>
      <c r="B185" s="4"/>
      <c r="C185" s="4"/>
      <c r="D185" s="4"/>
      <c r="E185">
        <f>IF(D185="","",IFERROR(VLOOKUP(D185,'Danh mục'!$A$4:$C$13,2,FALSE),"Không rõ mã"))</f>
        <v/>
      </c>
      <c r="F185" s="3"/>
      <c r="G185" s="7">
        <f>IF(D185="","",IFERROR(VLOOKUP(D185,'Danh mục'!$A$4:$C$13,3,FALSE),0))</f>
        <v/>
      </c>
      <c r="H185" s="7">
        <f>IF(F185="","",F185*G185)</f>
        <v/>
      </c>
      <c r="I185" s="8">
        <f>IF(F185="","",IF(F185&gt;=50,5%,IF(F185&gt;=20,2%,0)))</f>
        <v/>
      </c>
      <c r="J185" s="7">
        <f>IF(H185="","",ROUND(H185*I185,0))</f>
        <v/>
      </c>
      <c r="K185" s="7">
        <f>IF(H185="","",ROUND((H185-J185)*'Danh mục'!$F$3/100,0))</f>
        <v/>
      </c>
      <c r="L185" s="7">
        <f>IF(H185="","",H185-J185+K185)</f>
        <v/>
      </c>
      <c r="M185">
        <f>IF(A185="","",MONTH(A185))</f>
        <v/>
      </c>
    </row>
    <row r="186" spans="1:13">
      <c r="A186" s="6"/>
      <c r="B186" s="4"/>
      <c r="C186" s="4"/>
      <c r="D186" s="4"/>
      <c r="E186">
        <f>IF(D186="","",IFERROR(VLOOKUP(D186,'Danh mục'!$A$4:$C$13,2,FALSE),"Không rõ mã"))</f>
        <v/>
      </c>
      <c r="F186" s="3"/>
      <c r="G186" s="7">
        <f>IF(D186="","",IFERROR(VLOOKUP(D186,'Danh mục'!$A$4:$C$13,3,FALSE),0))</f>
        <v/>
      </c>
      <c r="H186" s="7">
        <f>IF(F186="","",F186*G186)</f>
        <v/>
      </c>
      <c r="I186" s="8">
        <f>IF(F186="","",IF(F186&gt;=50,5%,IF(F186&gt;=20,2%,0)))</f>
        <v/>
      </c>
      <c r="J186" s="7">
        <f>IF(H186="","",ROUND(H186*I186,0))</f>
        <v/>
      </c>
      <c r="K186" s="7">
        <f>IF(H186="","",ROUND((H186-J186)*'Danh mục'!$F$3/100,0))</f>
        <v/>
      </c>
      <c r="L186" s="7">
        <f>IF(H186="","",H186-J186+K186)</f>
        <v/>
      </c>
      <c r="M186">
        <f>IF(A186="","",MONTH(A186))</f>
        <v/>
      </c>
    </row>
    <row r="187" spans="1:13">
      <c r="A187" s="6"/>
      <c r="B187" s="4"/>
      <c r="C187" s="4"/>
      <c r="D187" s="4"/>
      <c r="E187">
        <f>IF(D187="","",IFERROR(VLOOKUP(D187,'Danh mục'!$A$4:$C$13,2,FALSE),"Không rõ mã"))</f>
        <v/>
      </c>
      <c r="F187" s="3"/>
      <c r="G187" s="7">
        <f>IF(D187="","",IFERROR(VLOOKUP(D187,'Danh mục'!$A$4:$C$13,3,FALSE),0))</f>
        <v/>
      </c>
      <c r="H187" s="7">
        <f>IF(F187="","",F187*G187)</f>
        <v/>
      </c>
      <c r="I187" s="8">
        <f>IF(F187="","",IF(F187&gt;=50,5%,IF(F187&gt;=20,2%,0)))</f>
        <v/>
      </c>
      <c r="J187" s="7">
        <f>IF(H187="","",ROUND(H187*I187,0))</f>
        <v/>
      </c>
      <c r="K187" s="7">
        <f>IF(H187="","",ROUND((H187-J187)*'Danh mục'!$F$3/100,0))</f>
        <v/>
      </c>
      <c r="L187" s="7">
        <f>IF(H187="","",H187-J187+K187)</f>
        <v/>
      </c>
      <c r="M187">
        <f>IF(A187="","",MONTH(A187))</f>
        <v/>
      </c>
    </row>
    <row r="188" spans="1:13">
      <c r="A188" s="6"/>
      <c r="B188" s="4"/>
      <c r="C188" s="4"/>
      <c r="D188" s="4"/>
      <c r="E188">
        <f>IF(D188="","",IFERROR(VLOOKUP(D188,'Danh mục'!$A$4:$C$13,2,FALSE),"Không rõ mã"))</f>
        <v/>
      </c>
      <c r="F188" s="3"/>
      <c r="G188" s="7">
        <f>IF(D188="","",IFERROR(VLOOKUP(D188,'Danh mục'!$A$4:$C$13,3,FALSE),0))</f>
        <v/>
      </c>
      <c r="H188" s="7">
        <f>IF(F188="","",F188*G188)</f>
        <v/>
      </c>
      <c r="I188" s="8">
        <f>IF(F188="","",IF(F188&gt;=50,5%,IF(F188&gt;=20,2%,0)))</f>
        <v/>
      </c>
      <c r="J188" s="7">
        <f>IF(H188="","",ROUND(H188*I188,0))</f>
        <v/>
      </c>
      <c r="K188" s="7">
        <f>IF(H188="","",ROUND((H188-J188)*'Danh mục'!$F$3/100,0))</f>
        <v/>
      </c>
      <c r="L188" s="7">
        <f>IF(H188="","",H188-J188+K188)</f>
        <v/>
      </c>
      <c r="M188">
        <f>IF(A188="","",MONTH(A188))</f>
        <v/>
      </c>
    </row>
    <row r="189" spans="1:13">
      <c r="A189" s="6"/>
      <c r="B189" s="4"/>
      <c r="C189" s="4"/>
      <c r="D189" s="4"/>
      <c r="E189">
        <f>IF(D189="","",IFERROR(VLOOKUP(D189,'Danh mục'!$A$4:$C$13,2,FALSE),"Không rõ mã"))</f>
        <v/>
      </c>
      <c r="F189" s="3"/>
      <c r="G189" s="7">
        <f>IF(D189="","",IFERROR(VLOOKUP(D189,'Danh mục'!$A$4:$C$13,3,FALSE),0))</f>
        <v/>
      </c>
      <c r="H189" s="7">
        <f>IF(F189="","",F189*G189)</f>
        <v/>
      </c>
      <c r="I189" s="8">
        <f>IF(F189="","",IF(F189&gt;=50,5%,IF(F189&gt;=20,2%,0)))</f>
        <v/>
      </c>
      <c r="J189" s="7">
        <f>IF(H189="","",ROUND(H189*I189,0))</f>
        <v/>
      </c>
      <c r="K189" s="7">
        <f>IF(H189="","",ROUND((H189-J189)*'Danh mục'!$F$3/100,0))</f>
        <v/>
      </c>
      <c r="L189" s="7">
        <f>IF(H189="","",H189-J189+K189)</f>
        <v/>
      </c>
      <c r="M189">
        <f>IF(A189="","",MONTH(A189))</f>
        <v/>
      </c>
    </row>
    <row r="190" spans="1:13">
      <c r="A190" s="6"/>
      <c r="B190" s="4"/>
      <c r="C190" s="4"/>
      <c r="D190" s="4"/>
      <c r="E190">
        <f>IF(D190="","",IFERROR(VLOOKUP(D190,'Danh mục'!$A$4:$C$13,2,FALSE),"Không rõ mã"))</f>
        <v/>
      </c>
      <c r="F190" s="3"/>
      <c r="G190" s="7">
        <f>IF(D190="","",IFERROR(VLOOKUP(D190,'Danh mục'!$A$4:$C$13,3,FALSE),0))</f>
        <v/>
      </c>
      <c r="H190" s="7">
        <f>IF(F190="","",F190*G190)</f>
        <v/>
      </c>
      <c r="I190" s="8">
        <f>IF(F190="","",IF(F190&gt;=50,5%,IF(F190&gt;=20,2%,0)))</f>
        <v/>
      </c>
      <c r="J190" s="7">
        <f>IF(H190="","",ROUND(H190*I190,0))</f>
        <v/>
      </c>
      <c r="K190" s="7">
        <f>IF(H190="","",ROUND((H190-J190)*'Danh mục'!$F$3/100,0))</f>
        <v/>
      </c>
      <c r="L190" s="7">
        <f>IF(H190="","",H190-J190+K190)</f>
        <v/>
      </c>
      <c r="M190">
        <f>IF(A190="","",MONTH(A190))</f>
        <v/>
      </c>
    </row>
    <row r="191" spans="1:13">
      <c r="A191" s="6"/>
      <c r="B191" s="4"/>
      <c r="C191" s="4"/>
      <c r="D191" s="4"/>
      <c r="E191">
        <f>IF(D191="","",IFERROR(VLOOKUP(D191,'Danh mục'!$A$4:$C$13,2,FALSE),"Không rõ mã"))</f>
        <v/>
      </c>
      <c r="F191" s="3"/>
      <c r="G191" s="7">
        <f>IF(D191="","",IFERROR(VLOOKUP(D191,'Danh mục'!$A$4:$C$13,3,FALSE),0))</f>
        <v/>
      </c>
      <c r="H191" s="7">
        <f>IF(F191="","",F191*G191)</f>
        <v/>
      </c>
      <c r="I191" s="8">
        <f>IF(F191="","",IF(F191&gt;=50,5%,IF(F191&gt;=20,2%,0)))</f>
        <v/>
      </c>
      <c r="J191" s="7">
        <f>IF(H191="","",ROUND(H191*I191,0))</f>
        <v/>
      </c>
      <c r="K191" s="7">
        <f>IF(H191="","",ROUND((H191-J191)*'Danh mục'!$F$3/100,0))</f>
        <v/>
      </c>
      <c r="L191" s="7">
        <f>IF(H191="","",H191-J191+K191)</f>
        <v/>
      </c>
      <c r="M191">
        <f>IF(A191="","",MONTH(A191))</f>
        <v/>
      </c>
    </row>
    <row r="192" spans="1:13">
      <c r="A192" s="6"/>
      <c r="B192" s="4"/>
      <c r="C192" s="4"/>
      <c r="D192" s="4"/>
      <c r="E192">
        <f>IF(D192="","",IFERROR(VLOOKUP(D192,'Danh mục'!$A$4:$C$13,2,FALSE),"Không rõ mã"))</f>
        <v/>
      </c>
      <c r="F192" s="3"/>
      <c r="G192" s="7">
        <f>IF(D192="","",IFERROR(VLOOKUP(D192,'Danh mục'!$A$4:$C$13,3,FALSE),0))</f>
        <v/>
      </c>
      <c r="H192" s="7">
        <f>IF(F192="","",F192*G192)</f>
        <v/>
      </c>
      <c r="I192" s="8">
        <f>IF(F192="","",IF(F192&gt;=50,5%,IF(F192&gt;=20,2%,0)))</f>
        <v/>
      </c>
      <c r="J192" s="7">
        <f>IF(H192="","",ROUND(H192*I192,0))</f>
        <v/>
      </c>
      <c r="K192" s="7">
        <f>IF(H192="","",ROUND((H192-J192)*'Danh mục'!$F$3/100,0))</f>
        <v/>
      </c>
      <c r="L192" s="7">
        <f>IF(H192="","",H192-J192+K192)</f>
        <v/>
      </c>
      <c r="M192">
        <f>IF(A192="","",MONTH(A192))</f>
        <v/>
      </c>
    </row>
    <row r="193" spans="1:13">
      <c r="A193" s="6"/>
      <c r="B193" s="4"/>
      <c r="C193" s="4"/>
      <c r="D193" s="4"/>
      <c r="E193">
        <f>IF(D193="","",IFERROR(VLOOKUP(D193,'Danh mục'!$A$4:$C$13,2,FALSE),"Không rõ mã"))</f>
        <v/>
      </c>
      <c r="F193" s="3"/>
      <c r="G193" s="7">
        <f>IF(D193="","",IFERROR(VLOOKUP(D193,'Danh mục'!$A$4:$C$13,3,FALSE),0))</f>
        <v/>
      </c>
      <c r="H193" s="7">
        <f>IF(F193="","",F193*G193)</f>
        <v/>
      </c>
      <c r="I193" s="8">
        <f>IF(F193="","",IF(F193&gt;=50,5%,IF(F193&gt;=20,2%,0)))</f>
        <v/>
      </c>
      <c r="J193" s="7">
        <f>IF(H193="","",ROUND(H193*I193,0))</f>
        <v/>
      </c>
      <c r="K193" s="7">
        <f>IF(H193="","",ROUND((H193-J193)*'Danh mục'!$F$3/100,0))</f>
        <v/>
      </c>
      <c r="L193" s="7">
        <f>IF(H193="","",H193-J193+K193)</f>
        <v/>
      </c>
      <c r="M193">
        <f>IF(A193="","",MONTH(A193))</f>
        <v/>
      </c>
    </row>
    <row r="194" spans="1:13">
      <c r="A194" s="6"/>
      <c r="B194" s="4"/>
      <c r="C194" s="4"/>
      <c r="D194" s="4"/>
      <c r="E194">
        <f>IF(D194="","",IFERROR(VLOOKUP(D194,'Danh mục'!$A$4:$C$13,2,FALSE),"Không rõ mã"))</f>
        <v/>
      </c>
      <c r="F194" s="3"/>
      <c r="G194" s="7">
        <f>IF(D194="","",IFERROR(VLOOKUP(D194,'Danh mục'!$A$4:$C$13,3,FALSE),0))</f>
        <v/>
      </c>
      <c r="H194" s="7">
        <f>IF(F194="","",F194*G194)</f>
        <v/>
      </c>
      <c r="I194" s="8">
        <f>IF(F194="","",IF(F194&gt;=50,5%,IF(F194&gt;=20,2%,0)))</f>
        <v/>
      </c>
      <c r="J194" s="7">
        <f>IF(H194="","",ROUND(H194*I194,0))</f>
        <v/>
      </c>
      <c r="K194" s="7">
        <f>IF(H194="","",ROUND((H194-J194)*'Danh mục'!$F$3/100,0))</f>
        <v/>
      </c>
      <c r="L194" s="7">
        <f>IF(H194="","",H194-J194+K194)</f>
        <v/>
      </c>
      <c r="M194">
        <f>IF(A194="","",MONTH(A194))</f>
        <v/>
      </c>
    </row>
    <row r="195" spans="1:13">
      <c r="A195" s="6"/>
      <c r="B195" s="4"/>
      <c r="C195" s="4"/>
      <c r="D195" s="4"/>
      <c r="E195">
        <f>IF(D195="","",IFERROR(VLOOKUP(D195,'Danh mục'!$A$4:$C$13,2,FALSE),"Không rõ mã"))</f>
        <v/>
      </c>
      <c r="F195" s="3"/>
      <c r="G195" s="7">
        <f>IF(D195="","",IFERROR(VLOOKUP(D195,'Danh mục'!$A$4:$C$13,3,FALSE),0))</f>
        <v/>
      </c>
      <c r="H195" s="7">
        <f>IF(F195="","",F195*G195)</f>
        <v/>
      </c>
      <c r="I195" s="8">
        <f>IF(F195="","",IF(F195&gt;=50,5%,IF(F195&gt;=20,2%,0)))</f>
        <v/>
      </c>
      <c r="J195" s="7">
        <f>IF(H195="","",ROUND(H195*I195,0))</f>
        <v/>
      </c>
      <c r="K195" s="7">
        <f>IF(H195="","",ROUND((H195-J195)*'Danh mục'!$F$3/100,0))</f>
        <v/>
      </c>
      <c r="L195" s="7">
        <f>IF(H195="","",H195-J195+K195)</f>
        <v/>
      </c>
      <c r="M195">
        <f>IF(A195="","",MONTH(A195))</f>
        <v/>
      </c>
    </row>
    <row r="196" spans="1:13">
      <c r="A196" s="6"/>
      <c r="B196" s="4"/>
      <c r="C196" s="4"/>
      <c r="D196" s="4"/>
      <c r="E196">
        <f>IF(D196="","",IFERROR(VLOOKUP(D196,'Danh mục'!$A$4:$C$13,2,FALSE),"Không rõ mã"))</f>
        <v/>
      </c>
      <c r="F196" s="3"/>
      <c r="G196" s="7">
        <f>IF(D196="","",IFERROR(VLOOKUP(D196,'Danh mục'!$A$4:$C$13,3,FALSE),0))</f>
        <v/>
      </c>
      <c r="H196" s="7">
        <f>IF(F196="","",F196*G196)</f>
        <v/>
      </c>
      <c r="I196" s="8">
        <f>IF(F196="","",IF(F196&gt;=50,5%,IF(F196&gt;=20,2%,0)))</f>
        <v/>
      </c>
      <c r="J196" s="7">
        <f>IF(H196="","",ROUND(H196*I196,0))</f>
        <v/>
      </c>
      <c r="K196" s="7">
        <f>IF(H196="","",ROUND((H196-J196)*'Danh mục'!$F$3/100,0))</f>
        <v/>
      </c>
      <c r="L196" s="7">
        <f>IF(H196="","",H196-J196+K196)</f>
        <v/>
      </c>
      <c r="M196">
        <f>IF(A196="","",MONTH(A196))</f>
        <v/>
      </c>
    </row>
    <row r="197" spans="1:13">
      <c r="A197" s="6"/>
      <c r="B197" s="4"/>
      <c r="C197" s="4"/>
      <c r="D197" s="4"/>
      <c r="E197">
        <f>IF(D197="","",IFERROR(VLOOKUP(D197,'Danh mục'!$A$4:$C$13,2,FALSE),"Không rõ mã"))</f>
        <v/>
      </c>
      <c r="F197" s="3"/>
      <c r="G197" s="7">
        <f>IF(D197="","",IFERROR(VLOOKUP(D197,'Danh mục'!$A$4:$C$13,3,FALSE),0))</f>
        <v/>
      </c>
      <c r="H197" s="7">
        <f>IF(F197="","",F197*G197)</f>
        <v/>
      </c>
      <c r="I197" s="8">
        <f>IF(F197="","",IF(F197&gt;=50,5%,IF(F197&gt;=20,2%,0)))</f>
        <v/>
      </c>
      <c r="J197" s="7">
        <f>IF(H197="","",ROUND(H197*I197,0))</f>
        <v/>
      </c>
      <c r="K197" s="7">
        <f>IF(H197="","",ROUND((H197-J197)*'Danh mục'!$F$3/100,0))</f>
        <v/>
      </c>
      <c r="L197" s="7">
        <f>IF(H197="","",H197-J197+K197)</f>
        <v/>
      </c>
      <c r="M197">
        <f>IF(A197="","",MONTH(A197))</f>
        <v/>
      </c>
    </row>
    <row r="198" spans="1:13">
      <c r="A198" s="6"/>
      <c r="B198" s="4"/>
      <c r="C198" s="4"/>
      <c r="D198" s="4"/>
      <c r="E198">
        <f>IF(D198="","",IFERROR(VLOOKUP(D198,'Danh mục'!$A$4:$C$13,2,FALSE),"Không rõ mã"))</f>
        <v/>
      </c>
      <c r="F198" s="3"/>
      <c r="G198" s="7">
        <f>IF(D198="","",IFERROR(VLOOKUP(D198,'Danh mục'!$A$4:$C$13,3,FALSE),0))</f>
        <v/>
      </c>
      <c r="H198" s="7">
        <f>IF(F198="","",F198*G198)</f>
        <v/>
      </c>
      <c r="I198" s="8">
        <f>IF(F198="","",IF(F198&gt;=50,5%,IF(F198&gt;=20,2%,0)))</f>
        <v/>
      </c>
      <c r="J198" s="7">
        <f>IF(H198="","",ROUND(H198*I198,0))</f>
        <v/>
      </c>
      <c r="K198" s="7">
        <f>IF(H198="","",ROUND((H198-J198)*'Danh mục'!$F$3/100,0))</f>
        <v/>
      </c>
      <c r="L198" s="7">
        <f>IF(H198="","",H198-J198+K198)</f>
        <v/>
      </c>
      <c r="M198">
        <f>IF(A198="","",MONTH(A198))</f>
        <v/>
      </c>
    </row>
    <row r="199" spans="1:13">
      <c r="A199" s="6"/>
      <c r="B199" s="4"/>
      <c r="C199" s="4"/>
      <c r="D199" s="4"/>
      <c r="E199">
        <f>IF(D199="","",IFERROR(VLOOKUP(D199,'Danh mục'!$A$4:$C$13,2,FALSE),"Không rõ mã"))</f>
        <v/>
      </c>
      <c r="F199" s="3"/>
      <c r="G199" s="7">
        <f>IF(D199="","",IFERROR(VLOOKUP(D199,'Danh mục'!$A$4:$C$13,3,FALSE),0))</f>
        <v/>
      </c>
      <c r="H199" s="7">
        <f>IF(F199="","",F199*G199)</f>
        <v/>
      </c>
      <c r="I199" s="8">
        <f>IF(F199="","",IF(F199&gt;=50,5%,IF(F199&gt;=20,2%,0)))</f>
        <v/>
      </c>
      <c r="J199" s="7">
        <f>IF(H199="","",ROUND(H199*I199,0))</f>
        <v/>
      </c>
      <c r="K199" s="7">
        <f>IF(H199="","",ROUND((H199-J199)*'Danh mục'!$F$3/100,0))</f>
        <v/>
      </c>
      <c r="L199" s="7">
        <f>IF(H199="","",H199-J199+K199)</f>
        <v/>
      </c>
      <c r="M199">
        <f>IF(A199="","",MONTH(A199))</f>
        <v/>
      </c>
    </row>
    <row r="200" spans="1:13">
      <c r="A200" s="6"/>
      <c r="B200" s="4"/>
      <c r="C200" s="4"/>
      <c r="D200" s="4"/>
      <c r="E200">
        <f>IF(D200="","",IFERROR(VLOOKUP(D200,'Danh mục'!$A$4:$C$13,2,FALSE),"Không rõ mã"))</f>
        <v/>
      </c>
      <c r="F200" s="3"/>
      <c r="G200" s="7">
        <f>IF(D200="","",IFERROR(VLOOKUP(D200,'Danh mục'!$A$4:$C$13,3,FALSE),0))</f>
        <v/>
      </c>
      <c r="H200" s="7">
        <f>IF(F200="","",F200*G200)</f>
        <v/>
      </c>
      <c r="I200" s="8">
        <f>IF(F200="","",IF(F200&gt;=50,5%,IF(F200&gt;=20,2%,0)))</f>
        <v/>
      </c>
      <c r="J200" s="7">
        <f>IF(H200="","",ROUND(H200*I200,0))</f>
        <v/>
      </c>
      <c r="K200" s="7">
        <f>IF(H200="","",ROUND((H200-J200)*'Danh mục'!$F$3/100,0))</f>
        <v/>
      </c>
      <c r="L200" s="7">
        <f>IF(H200="","",H200-J200+K200)</f>
        <v/>
      </c>
      <c r="M200">
        <f>IF(A200="","",MONTH(A200))</f>
        <v/>
      </c>
    </row>
    <row r="201" spans="1:13">
      <c r="A201" s="6"/>
      <c r="B201" s="4"/>
      <c r="C201" s="4"/>
      <c r="D201" s="4"/>
      <c r="E201">
        <f>IF(D201="","",IFERROR(VLOOKUP(D201,'Danh mục'!$A$4:$C$13,2,FALSE),"Không rõ mã"))</f>
        <v/>
      </c>
      <c r="F201" s="3"/>
      <c r="G201" s="7">
        <f>IF(D201="","",IFERROR(VLOOKUP(D201,'Danh mục'!$A$4:$C$13,3,FALSE),0))</f>
        <v/>
      </c>
      <c r="H201" s="7">
        <f>IF(F201="","",F201*G201)</f>
        <v/>
      </c>
      <c r="I201" s="8">
        <f>IF(F201="","",IF(F201&gt;=50,5%,IF(F201&gt;=20,2%,0)))</f>
        <v/>
      </c>
      <c r="J201" s="7">
        <f>IF(H201="","",ROUND(H201*I201,0))</f>
        <v/>
      </c>
      <c r="K201" s="7">
        <f>IF(H201="","",ROUND((H201-J201)*'Danh mục'!$F$3/100,0))</f>
        <v/>
      </c>
      <c r="L201" s="7">
        <f>IF(H201="","",H201-J201+K201)</f>
        <v/>
      </c>
      <c r="M201">
        <f>IF(A201="","",MONTH(A201))</f>
        <v/>
      </c>
    </row>
    <row r="202" spans="1:13">
      <c r="A202" s="6"/>
      <c r="B202" s="4"/>
      <c r="C202" s="4"/>
      <c r="D202" s="4"/>
      <c r="E202">
        <f>IF(D202="","",IFERROR(VLOOKUP(D202,'Danh mục'!$A$4:$C$13,2,FALSE),"Không rõ mã"))</f>
        <v/>
      </c>
      <c r="F202" s="3"/>
      <c r="G202" s="7">
        <f>IF(D202="","",IFERROR(VLOOKUP(D202,'Danh mục'!$A$4:$C$13,3,FALSE),0))</f>
        <v/>
      </c>
      <c r="H202" s="7">
        <f>IF(F202="","",F202*G202)</f>
        <v/>
      </c>
      <c r="I202" s="8">
        <f>IF(F202="","",IF(F202&gt;=50,5%,IF(F202&gt;=20,2%,0)))</f>
        <v/>
      </c>
      <c r="J202" s="7">
        <f>IF(H202="","",ROUND(H202*I202,0))</f>
        <v/>
      </c>
      <c r="K202" s="7">
        <f>IF(H202="","",ROUND((H202-J202)*'Danh mục'!$F$3/100,0))</f>
        <v/>
      </c>
      <c r="L202" s="7">
        <f>IF(H202="","",H202-J202+K202)</f>
        <v/>
      </c>
      <c r="M202">
        <f>IF(A202="","",MONTH(A202))</f>
        <v/>
      </c>
    </row>
    <row r="203" spans="1:13">
      <c r="A203" s="6"/>
      <c r="B203" s="4"/>
      <c r="C203" s="4"/>
      <c r="D203" s="4"/>
      <c r="E203">
        <f>IF(D203="","",IFERROR(VLOOKUP(D203,'Danh mục'!$A$4:$C$13,2,FALSE),"Không rõ mã"))</f>
        <v/>
      </c>
      <c r="F203" s="3"/>
      <c r="G203" s="7">
        <f>IF(D203="","",IFERROR(VLOOKUP(D203,'Danh mục'!$A$4:$C$13,3,FALSE),0))</f>
        <v/>
      </c>
      <c r="H203" s="7">
        <f>IF(F203="","",F203*G203)</f>
        <v/>
      </c>
      <c r="I203" s="8">
        <f>IF(F203="","",IF(F203&gt;=50,5%,IF(F203&gt;=20,2%,0)))</f>
        <v/>
      </c>
      <c r="J203" s="7">
        <f>IF(H203="","",ROUND(H203*I203,0))</f>
        <v/>
      </c>
      <c r="K203" s="7">
        <f>IF(H203="","",ROUND((H203-J203)*'Danh mục'!$F$3/100,0))</f>
        <v/>
      </c>
      <c r="L203" s="7">
        <f>IF(H203="","",H203-J203+K203)</f>
        <v/>
      </c>
      <c r="M203">
        <f>IF(A203="","",MONTH(A203))</f>
        <v/>
      </c>
    </row>
    <row r="204" spans="1:13">
      <c r="A204" s="6"/>
      <c r="B204" s="4"/>
      <c r="C204" s="4"/>
      <c r="D204" s="4"/>
      <c r="E204">
        <f>IF(D204="","",IFERROR(VLOOKUP(D204,'Danh mục'!$A$4:$C$13,2,FALSE),"Không rõ mã"))</f>
        <v/>
      </c>
      <c r="F204" s="3"/>
      <c r="G204" s="7">
        <f>IF(D204="","",IFERROR(VLOOKUP(D204,'Danh mục'!$A$4:$C$13,3,FALSE),0))</f>
        <v/>
      </c>
      <c r="H204" s="7">
        <f>IF(F204="","",F204*G204)</f>
        <v/>
      </c>
      <c r="I204" s="8">
        <f>IF(F204="","",IF(F204&gt;=50,5%,IF(F204&gt;=20,2%,0)))</f>
        <v/>
      </c>
      <c r="J204" s="7">
        <f>IF(H204="","",ROUND(H204*I204,0))</f>
        <v/>
      </c>
      <c r="K204" s="7">
        <f>IF(H204="","",ROUND((H204-J204)*'Danh mục'!$F$3/100,0))</f>
        <v/>
      </c>
      <c r="L204" s="7">
        <f>IF(H204="","",H204-J204+K204)</f>
        <v/>
      </c>
      <c r="M204">
        <f>IF(A204="","",MONTH(A204))</f>
        <v/>
      </c>
    </row>
    <row r="205" spans="1:13">
      <c r="A205" s="6"/>
      <c r="B205" s="4"/>
      <c r="C205" s="4"/>
      <c r="D205" s="4"/>
      <c r="E205">
        <f>IF(D205="","",IFERROR(VLOOKUP(D205,'Danh mục'!$A$4:$C$13,2,FALSE),"Không rõ mã"))</f>
        <v/>
      </c>
      <c r="F205" s="3"/>
      <c r="G205" s="7">
        <f>IF(D205="","",IFERROR(VLOOKUP(D205,'Danh mục'!$A$4:$C$13,3,FALSE),0))</f>
        <v/>
      </c>
      <c r="H205" s="7">
        <f>IF(F205="","",F205*G205)</f>
        <v/>
      </c>
      <c r="I205" s="8">
        <f>IF(F205="","",IF(F205&gt;=50,5%,IF(F205&gt;=20,2%,0)))</f>
        <v/>
      </c>
      <c r="J205" s="7">
        <f>IF(H205="","",ROUND(H205*I205,0))</f>
        <v/>
      </c>
      <c r="K205" s="7">
        <f>IF(H205="","",ROUND((H205-J205)*'Danh mục'!$F$3/100,0))</f>
        <v/>
      </c>
      <c r="L205" s="7">
        <f>IF(H205="","",H205-J205+K205)</f>
        <v/>
      </c>
      <c r="M205">
        <f>IF(A205="","",MONTH(A205))</f>
        <v/>
      </c>
    </row>
    <row r="206" spans="1:13">
      <c r="A206" s="6"/>
      <c r="B206" s="4"/>
      <c r="C206" s="4"/>
      <c r="D206" s="4"/>
      <c r="E206">
        <f>IF(D206="","",IFERROR(VLOOKUP(D206,'Danh mục'!$A$4:$C$13,2,FALSE),"Không rõ mã"))</f>
        <v/>
      </c>
      <c r="F206" s="3"/>
      <c r="G206" s="7">
        <f>IF(D206="","",IFERROR(VLOOKUP(D206,'Danh mục'!$A$4:$C$13,3,FALSE),0))</f>
        <v/>
      </c>
      <c r="H206" s="7">
        <f>IF(F206="","",F206*G206)</f>
        <v/>
      </c>
      <c r="I206" s="8">
        <f>IF(F206="","",IF(F206&gt;=50,5%,IF(F206&gt;=20,2%,0)))</f>
        <v/>
      </c>
      <c r="J206" s="7">
        <f>IF(H206="","",ROUND(H206*I206,0))</f>
        <v/>
      </c>
      <c r="K206" s="7">
        <f>IF(H206="","",ROUND((H206-J206)*'Danh mục'!$F$3/100,0))</f>
        <v/>
      </c>
      <c r="L206" s="7">
        <f>IF(H206="","",H206-J206+K206)</f>
        <v/>
      </c>
      <c r="M206">
        <f>IF(A206="","",MONTH(A206))</f>
        <v/>
      </c>
    </row>
    <row r="207" spans="1:13">
      <c r="A207" s="6"/>
      <c r="B207" s="4"/>
      <c r="C207" s="4"/>
      <c r="D207" s="4"/>
      <c r="E207">
        <f>IF(D207="","",IFERROR(VLOOKUP(D207,'Danh mục'!$A$4:$C$13,2,FALSE),"Không rõ mã"))</f>
        <v/>
      </c>
      <c r="F207" s="3"/>
      <c r="G207" s="7">
        <f>IF(D207="","",IFERROR(VLOOKUP(D207,'Danh mục'!$A$4:$C$13,3,FALSE),0))</f>
        <v/>
      </c>
      <c r="H207" s="7">
        <f>IF(F207="","",F207*G207)</f>
        <v/>
      </c>
      <c r="I207" s="8">
        <f>IF(F207="","",IF(F207&gt;=50,5%,IF(F207&gt;=20,2%,0)))</f>
        <v/>
      </c>
      <c r="J207" s="7">
        <f>IF(H207="","",ROUND(H207*I207,0))</f>
        <v/>
      </c>
      <c r="K207" s="7">
        <f>IF(H207="","",ROUND((H207-J207)*'Danh mục'!$F$3/100,0))</f>
        <v/>
      </c>
      <c r="L207" s="7">
        <f>IF(H207="","",H207-J207+K207)</f>
        <v/>
      </c>
      <c r="M207">
        <f>IF(A207="","",MONTH(A207))</f>
        <v/>
      </c>
    </row>
    <row r="208" spans="1:13">
      <c r="A208" s="6"/>
      <c r="B208" s="4"/>
      <c r="C208" s="4"/>
      <c r="D208" s="4"/>
      <c r="E208">
        <f>IF(D208="","",IFERROR(VLOOKUP(D208,'Danh mục'!$A$4:$C$13,2,FALSE),"Không rõ mã"))</f>
        <v/>
      </c>
      <c r="F208" s="3"/>
      <c r="G208" s="7">
        <f>IF(D208="","",IFERROR(VLOOKUP(D208,'Danh mục'!$A$4:$C$13,3,FALSE),0))</f>
        <v/>
      </c>
      <c r="H208" s="7">
        <f>IF(F208="","",F208*G208)</f>
        <v/>
      </c>
      <c r="I208" s="8">
        <f>IF(F208="","",IF(F208&gt;=50,5%,IF(F208&gt;=20,2%,0)))</f>
        <v/>
      </c>
      <c r="J208" s="7">
        <f>IF(H208="","",ROUND(H208*I208,0))</f>
        <v/>
      </c>
      <c r="K208" s="7">
        <f>IF(H208="","",ROUND((H208-J208)*'Danh mục'!$F$3/100,0))</f>
        <v/>
      </c>
      <c r="L208" s="7">
        <f>IF(H208="","",H208-J208+K208)</f>
        <v/>
      </c>
      <c r="M208">
        <f>IF(A208="","",MONTH(A208))</f>
        <v/>
      </c>
    </row>
    <row r="209" spans="1:13">
      <c r="A209" s="6"/>
      <c r="B209" s="4"/>
      <c r="C209" s="4"/>
      <c r="D209" s="4"/>
      <c r="E209">
        <f>IF(D209="","",IFERROR(VLOOKUP(D209,'Danh mục'!$A$4:$C$13,2,FALSE),"Không rõ mã"))</f>
        <v/>
      </c>
      <c r="F209" s="3"/>
      <c r="G209" s="7">
        <f>IF(D209="","",IFERROR(VLOOKUP(D209,'Danh mục'!$A$4:$C$13,3,FALSE),0))</f>
        <v/>
      </c>
      <c r="H209" s="7">
        <f>IF(F209="","",F209*G209)</f>
        <v/>
      </c>
      <c r="I209" s="8">
        <f>IF(F209="","",IF(F209&gt;=50,5%,IF(F209&gt;=20,2%,0)))</f>
        <v/>
      </c>
      <c r="J209" s="7">
        <f>IF(H209="","",ROUND(H209*I209,0))</f>
        <v/>
      </c>
      <c r="K209" s="7">
        <f>IF(H209="","",ROUND((H209-J209)*'Danh mục'!$F$3/100,0))</f>
        <v/>
      </c>
      <c r="L209" s="7">
        <f>IF(H209="","",H209-J209+K209)</f>
        <v/>
      </c>
      <c r="M209">
        <f>IF(A209="","",MONTH(A209))</f>
        <v/>
      </c>
    </row>
    <row r="210" spans="1:13">
      <c r="A210" s="6"/>
      <c r="B210" s="4"/>
      <c r="C210" s="4"/>
      <c r="D210" s="4"/>
      <c r="E210">
        <f>IF(D210="","",IFERROR(VLOOKUP(D210,'Danh mục'!$A$4:$C$13,2,FALSE),"Không rõ mã"))</f>
        <v/>
      </c>
      <c r="F210" s="3"/>
      <c r="G210" s="7">
        <f>IF(D210="","",IFERROR(VLOOKUP(D210,'Danh mục'!$A$4:$C$13,3,FALSE),0))</f>
        <v/>
      </c>
      <c r="H210" s="7">
        <f>IF(F210="","",F210*G210)</f>
        <v/>
      </c>
      <c r="I210" s="8">
        <f>IF(F210="","",IF(F210&gt;=50,5%,IF(F210&gt;=20,2%,0)))</f>
        <v/>
      </c>
      <c r="J210" s="7">
        <f>IF(H210="","",ROUND(H210*I210,0))</f>
        <v/>
      </c>
      <c r="K210" s="7">
        <f>IF(H210="","",ROUND((H210-J210)*'Danh mục'!$F$3/100,0))</f>
        <v/>
      </c>
      <c r="L210" s="7">
        <f>IF(H210="","",H210-J210+K210)</f>
        <v/>
      </c>
      <c r="M210">
        <f>IF(A210="","",MONTH(A210))</f>
        <v/>
      </c>
    </row>
    <row r="211" spans="1:13">
      <c r="A211" s="6"/>
      <c r="B211" s="4"/>
      <c r="C211" s="4"/>
      <c r="D211" s="4"/>
      <c r="E211">
        <f>IF(D211="","",IFERROR(VLOOKUP(D211,'Danh mục'!$A$4:$C$13,2,FALSE),"Không rõ mã"))</f>
        <v/>
      </c>
      <c r="F211" s="3"/>
      <c r="G211" s="7">
        <f>IF(D211="","",IFERROR(VLOOKUP(D211,'Danh mục'!$A$4:$C$13,3,FALSE),0))</f>
        <v/>
      </c>
      <c r="H211" s="7">
        <f>IF(F211="","",F211*G211)</f>
        <v/>
      </c>
      <c r="I211" s="8">
        <f>IF(F211="","",IF(F211&gt;=50,5%,IF(F211&gt;=20,2%,0)))</f>
        <v/>
      </c>
      <c r="J211" s="7">
        <f>IF(H211="","",ROUND(H211*I211,0))</f>
        <v/>
      </c>
      <c r="K211" s="7">
        <f>IF(H211="","",ROUND((H211-J211)*'Danh mục'!$F$3/100,0))</f>
        <v/>
      </c>
      <c r="L211" s="7">
        <f>IF(H211="","",H211-J211+K211)</f>
        <v/>
      </c>
      <c r="M211">
        <f>IF(A211="","",MONTH(A211))</f>
        <v/>
      </c>
    </row>
    <row r="212" spans="1:13">
      <c r="A212" s="6"/>
      <c r="B212" s="4"/>
      <c r="C212" s="4"/>
      <c r="D212" s="4"/>
      <c r="E212">
        <f>IF(D212="","",IFERROR(VLOOKUP(D212,'Danh mục'!$A$4:$C$13,2,FALSE),"Không rõ mã"))</f>
        <v/>
      </c>
      <c r="F212" s="3"/>
      <c r="G212" s="7">
        <f>IF(D212="","",IFERROR(VLOOKUP(D212,'Danh mục'!$A$4:$C$13,3,FALSE),0))</f>
        <v/>
      </c>
      <c r="H212" s="7">
        <f>IF(F212="","",F212*G212)</f>
        <v/>
      </c>
      <c r="I212" s="8">
        <f>IF(F212="","",IF(F212&gt;=50,5%,IF(F212&gt;=20,2%,0)))</f>
        <v/>
      </c>
      <c r="J212" s="7">
        <f>IF(H212="","",ROUND(H212*I212,0))</f>
        <v/>
      </c>
      <c r="K212" s="7">
        <f>IF(H212="","",ROUND((H212-J212)*'Danh mục'!$F$3/100,0))</f>
        <v/>
      </c>
      <c r="L212" s="7">
        <f>IF(H212="","",H212-J212+K212)</f>
        <v/>
      </c>
      <c r="M212">
        <f>IF(A212="","",MONTH(A212))</f>
        <v/>
      </c>
    </row>
    <row r="213" spans="1:13">
      <c r="A213" s="6"/>
      <c r="B213" s="4"/>
      <c r="C213" s="4"/>
      <c r="D213" s="4"/>
      <c r="E213">
        <f>IF(D213="","",IFERROR(VLOOKUP(D213,'Danh mục'!$A$4:$C$13,2,FALSE),"Không rõ mã"))</f>
        <v/>
      </c>
      <c r="F213" s="3"/>
      <c r="G213" s="7">
        <f>IF(D213="","",IFERROR(VLOOKUP(D213,'Danh mục'!$A$4:$C$13,3,FALSE),0))</f>
        <v/>
      </c>
      <c r="H213" s="7">
        <f>IF(F213="","",F213*G213)</f>
        <v/>
      </c>
      <c r="I213" s="8">
        <f>IF(F213="","",IF(F213&gt;=50,5%,IF(F213&gt;=20,2%,0)))</f>
        <v/>
      </c>
      <c r="J213" s="7">
        <f>IF(H213="","",ROUND(H213*I213,0))</f>
        <v/>
      </c>
      <c r="K213" s="7">
        <f>IF(H213="","",ROUND((H213-J213)*'Danh mục'!$F$3/100,0))</f>
        <v/>
      </c>
      <c r="L213" s="7">
        <f>IF(H213="","",H213-J213+K213)</f>
        <v/>
      </c>
      <c r="M213">
        <f>IF(A213="","",MONTH(A213))</f>
        <v/>
      </c>
    </row>
    <row r="214" spans="1:13">
      <c r="A214" s="6"/>
      <c r="B214" s="4"/>
      <c r="C214" s="4"/>
      <c r="D214" s="4"/>
      <c r="E214">
        <f>IF(D214="","",IFERROR(VLOOKUP(D214,'Danh mục'!$A$4:$C$13,2,FALSE),"Không rõ mã"))</f>
        <v/>
      </c>
      <c r="F214" s="3"/>
      <c r="G214" s="7">
        <f>IF(D214="","",IFERROR(VLOOKUP(D214,'Danh mục'!$A$4:$C$13,3,FALSE),0))</f>
        <v/>
      </c>
      <c r="H214" s="7">
        <f>IF(F214="","",F214*G214)</f>
        <v/>
      </c>
      <c r="I214" s="8">
        <f>IF(F214="","",IF(F214&gt;=50,5%,IF(F214&gt;=20,2%,0)))</f>
        <v/>
      </c>
      <c r="J214" s="7">
        <f>IF(H214="","",ROUND(H214*I214,0))</f>
        <v/>
      </c>
      <c r="K214" s="7">
        <f>IF(H214="","",ROUND((H214-J214)*'Danh mục'!$F$3/100,0))</f>
        <v/>
      </c>
      <c r="L214" s="7">
        <f>IF(H214="","",H214-J214+K214)</f>
        <v/>
      </c>
      <c r="M214">
        <f>IF(A214="","",MONTH(A214))</f>
        <v/>
      </c>
    </row>
    <row r="215" spans="1:13">
      <c r="A215" s="6"/>
      <c r="B215" s="4"/>
      <c r="C215" s="4"/>
      <c r="D215" s="4"/>
      <c r="E215">
        <f>IF(D215="","",IFERROR(VLOOKUP(D215,'Danh mục'!$A$4:$C$13,2,FALSE),"Không rõ mã"))</f>
        <v/>
      </c>
      <c r="F215" s="3"/>
      <c r="G215" s="7">
        <f>IF(D215="","",IFERROR(VLOOKUP(D215,'Danh mục'!$A$4:$C$13,3,FALSE),0))</f>
        <v/>
      </c>
      <c r="H215" s="7">
        <f>IF(F215="","",F215*G215)</f>
        <v/>
      </c>
      <c r="I215" s="8">
        <f>IF(F215="","",IF(F215&gt;=50,5%,IF(F215&gt;=20,2%,0)))</f>
        <v/>
      </c>
      <c r="J215" s="7">
        <f>IF(H215="","",ROUND(H215*I215,0))</f>
        <v/>
      </c>
      <c r="K215" s="7">
        <f>IF(H215="","",ROUND((H215-J215)*'Danh mục'!$F$3/100,0))</f>
        <v/>
      </c>
      <c r="L215" s="7">
        <f>IF(H215="","",H215-J215+K215)</f>
        <v/>
      </c>
      <c r="M215">
        <f>IF(A215="","",MONTH(A215))</f>
        <v/>
      </c>
    </row>
    <row r="216" spans="1:13">
      <c r="A216" s="6"/>
      <c r="B216" s="4"/>
      <c r="C216" s="4"/>
      <c r="D216" s="4"/>
      <c r="E216">
        <f>IF(D216="","",IFERROR(VLOOKUP(D216,'Danh mục'!$A$4:$C$13,2,FALSE),"Không rõ mã"))</f>
        <v/>
      </c>
      <c r="F216" s="3"/>
      <c r="G216" s="7">
        <f>IF(D216="","",IFERROR(VLOOKUP(D216,'Danh mục'!$A$4:$C$13,3,FALSE),0))</f>
        <v/>
      </c>
      <c r="H216" s="7">
        <f>IF(F216="","",F216*G216)</f>
        <v/>
      </c>
      <c r="I216" s="8">
        <f>IF(F216="","",IF(F216&gt;=50,5%,IF(F216&gt;=20,2%,0)))</f>
        <v/>
      </c>
      <c r="J216" s="7">
        <f>IF(H216="","",ROUND(H216*I216,0))</f>
        <v/>
      </c>
      <c r="K216" s="7">
        <f>IF(H216="","",ROUND((H216-J216)*'Danh mục'!$F$3/100,0))</f>
        <v/>
      </c>
      <c r="L216" s="7">
        <f>IF(H216="","",H216-J216+K216)</f>
        <v/>
      </c>
      <c r="M216">
        <f>IF(A216="","",MONTH(A216))</f>
        <v/>
      </c>
    </row>
    <row r="217" spans="1:13">
      <c r="A217" s="6"/>
      <c r="B217" s="4"/>
      <c r="C217" s="4"/>
      <c r="D217" s="4"/>
      <c r="E217">
        <f>IF(D217="","",IFERROR(VLOOKUP(D217,'Danh mục'!$A$4:$C$13,2,FALSE),"Không rõ mã"))</f>
        <v/>
      </c>
      <c r="F217" s="3"/>
      <c r="G217" s="7">
        <f>IF(D217="","",IFERROR(VLOOKUP(D217,'Danh mục'!$A$4:$C$13,3,FALSE),0))</f>
        <v/>
      </c>
      <c r="H217" s="7">
        <f>IF(F217="","",F217*G217)</f>
        <v/>
      </c>
      <c r="I217" s="8">
        <f>IF(F217="","",IF(F217&gt;=50,5%,IF(F217&gt;=20,2%,0)))</f>
        <v/>
      </c>
      <c r="J217" s="7">
        <f>IF(H217="","",ROUND(H217*I217,0))</f>
        <v/>
      </c>
      <c r="K217" s="7">
        <f>IF(H217="","",ROUND((H217-J217)*'Danh mục'!$F$3/100,0))</f>
        <v/>
      </c>
      <c r="L217" s="7">
        <f>IF(H217="","",H217-J217+K217)</f>
        <v/>
      </c>
      <c r="M217">
        <f>IF(A217="","",MONTH(A217))</f>
        <v/>
      </c>
    </row>
    <row r="218" spans="1:13">
      <c r="A218" s="6"/>
      <c r="B218" s="4"/>
      <c r="C218" s="4"/>
      <c r="D218" s="4"/>
      <c r="E218">
        <f>IF(D218="","",IFERROR(VLOOKUP(D218,'Danh mục'!$A$4:$C$13,2,FALSE),"Không rõ mã"))</f>
        <v/>
      </c>
      <c r="F218" s="3"/>
      <c r="G218" s="7">
        <f>IF(D218="","",IFERROR(VLOOKUP(D218,'Danh mục'!$A$4:$C$13,3,FALSE),0))</f>
        <v/>
      </c>
      <c r="H218" s="7">
        <f>IF(F218="","",F218*G218)</f>
        <v/>
      </c>
      <c r="I218" s="8">
        <f>IF(F218="","",IF(F218&gt;=50,5%,IF(F218&gt;=20,2%,0)))</f>
        <v/>
      </c>
      <c r="J218" s="7">
        <f>IF(H218="","",ROUND(H218*I218,0))</f>
        <v/>
      </c>
      <c r="K218" s="7">
        <f>IF(H218="","",ROUND((H218-J218)*'Danh mục'!$F$3/100,0))</f>
        <v/>
      </c>
      <c r="L218" s="7">
        <f>IF(H218="","",H218-J218+K218)</f>
        <v/>
      </c>
      <c r="M218">
        <f>IF(A218="","",MONTH(A218))</f>
        <v/>
      </c>
    </row>
    <row r="219" spans="1:13">
      <c r="A219" s="6"/>
      <c r="B219" s="4"/>
      <c r="C219" s="4"/>
      <c r="D219" s="4"/>
      <c r="E219">
        <f>IF(D219="","",IFERROR(VLOOKUP(D219,'Danh mục'!$A$4:$C$13,2,FALSE),"Không rõ mã"))</f>
        <v/>
      </c>
      <c r="F219" s="3"/>
      <c r="G219" s="7">
        <f>IF(D219="","",IFERROR(VLOOKUP(D219,'Danh mục'!$A$4:$C$13,3,FALSE),0))</f>
        <v/>
      </c>
      <c r="H219" s="7">
        <f>IF(F219="","",F219*G219)</f>
        <v/>
      </c>
      <c r="I219" s="8">
        <f>IF(F219="","",IF(F219&gt;=50,5%,IF(F219&gt;=20,2%,0)))</f>
        <v/>
      </c>
      <c r="J219" s="7">
        <f>IF(H219="","",ROUND(H219*I219,0))</f>
        <v/>
      </c>
      <c r="K219" s="7">
        <f>IF(H219="","",ROUND((H219-J219)*'Danh mục'!$F$3/100,0))</f>
        <v/>
      </c>
      <c r="L219" s="7">
        <f>IF(H219="","",H219-J219+K219)</f>
        <v/>
      </c>
      <c r="M219">
        <f>IF(A219="","",MONTH(A219))</f>
        <v/>
      </c>
    </row>
    <row r="220" spans="1:13">
      <c r="A220" s="6"/>
      <c r="B220" s="4"/>
      <c r="C220" s="4"/>
      <c r="D220" s="4"/>
      <c r="E220">
        <f>IF(D220="","",IFERROR(VLOOKUP(D220,'Danh mục'!$A$4:$C$13,2,FALSE),"Không rõ mã"))</f>
        <v/>
      </c>
      <c r="F220" s="3"/>
      <c r="G220" s="7">
        <f>IF(D220="","",IFERROR(VLOOKUP(D220,'Danh mục'!$A$4:$C$13,3,FALSE),0))</f>
        <v/>
      </c>
      <c r="H220" s="7">
        <f>IF(F220="","",F220*G220)</f>
        <v/>
      </c>
      <c r="I220" s="8">
        <f>IF(F220="","",IF(F220&gt;=50,5%,IF(F220&gt;=20,2%,0)))</f>
        <v/>
      </c>
      <c r="J220" s="7">
        <f>IF(H220="","",ROUND(H220*I220,0))</f>
        <v/>
      </c>
      <c r="K220" s="7">
        <f>IF(H220="","",ROUND((H220-J220)*'Danh mục'!$F$3/100,0))</f>
        <v/>
      </c>
      <c r="L220" s="7">
        <f>IF(H220="","",H220-J220+K220)</f>
        <v/>
      </c>
      <c r="M220">
        <f>IF(A220="","",MONTH(A220))</f>
        <v/>
      </c>
    </row>
    <row r="221" spans="1:13">
      <c r="A221" s="6"/>
      <c r="B221" s="4"/>
      <c r="C221" s="4"/>
      <c r="D221" s="4"/>
      <c r="E221">
        <f>IF(D221="","",IFERROR(VLOOKUP(D221,'Danh mục'!$A$4:$C$13,2,FALSE),"Không rõ mã"))</f>
        <v/>
      </c>
      <c r="F221" s="3"/>
      <c r="G221" s="7">
        <f>IF(D221="","",IFERROR(VLOOKUP(D221,'Danh mục'!$A$4:$C$13,3,FALSE),0))</f>
        <v/>
      </c>
      <c r="H221" s="7">
        <f>IF(F221="","",F221*G221)</f>
        <v/>
      </c>
      <c r="I221" s="8">
        <f>IF(F221="","",IF(F221&gt;=50,5%,IF(F221&gt;=20,2%,0)))</f>
        <v/>
      </c>
      <c r="J221" s="7">
        <f>IF(H221="","",ROUND(H221*I221,0))</f>
        <v/>
      </c>
      <c r="K221" s="7">
        <f>IF(H221="","",ROUND((H221-J221)*'Danh mục'!$F$3/100,0))</f>
        <v/>
      </c>
      <c r="L221" s="7">
        <f>IF(H221="","",H221-J221+K221)</f>
        <v/>
      </c>
      <c r="M221">
        <f>IF(A221="","",MONTH(A221))</f>
        <v/>
      </c>
    </row>
    <row r="222" spans="1:13">
      <c r="A222" s="6"/>
      <c r="B222" s="4"/>
      <c r="C222" s="4"/>
      <c r="D222" s="4"/>
      <c r="E222">
        <f>IF(D222="","",IFERROR(VLOOKUP(D222,'Danh mục'!$A$4:$C$13,2,FALSE),"Không rõ mã"))</f>
        <v/>
      </c>
      <c r="F222" s="3"/>
      <c r="G222" s="7">
        <f>IF(D222="","",IFERROR(VLOOKUP(D222,'Danh mục'!$A$4:$C$13,3,FALSE),0))</f>
        <v/>
      </c>
      <c r="H222" s="7">
        <f>IF(F222="","",F222*G222)</f>
        <v/>
      </c>
      <c r="I222" s="8">
        <f>IF(F222="","",IF(F222&gt;=50,5%,IF(F222&gt;=20,2%,0)))</f>
        <v/>
      </c>
      <c r="J222" s="7">
        <f>IF(H222="","",ROUND(H222*I222,0))</f>
        <v/>
      </c>
      <c r="K222" s="7">
        <f>IF(H222="","",ROUND((H222-J222)*'Danh mục'!$F$3/100,0))</f>
        <v/>
      </c>
      <c r="L222" s="7">
        <f>IF(H222="","",H222-J222+K222)</f>
        <v/>
      </c>
      <c r="M222">
        <f>IF(A222="","",MONTH(A222))</f>
        <v/>
      </c>
    </row>
    <row r="223" spans="1:13">
      <c r="A223" s="6"/>
      <c r="B223" s="4"/>
      <c r="C223" s="4"/>
      <c r="D223" s="4"/>
      <c r="E223">
        <f>IF(D223="","",IFERROR(VLOOKUP(D223,'Danh mục'!$A$4:$C$13,2,FALSE),"Không rõ mã"))</f>
        <v/>
      </c>
      <c r="F223" s="3"/>
      <c r="G223" s="7">
        <f>IF(D223="","",IFERROR(VLOOKUP(D223,'Danh mục'!$A$4:$C$13,3,FALSE),0))</f>
        <v/>
      </c>
      <c r="H223" s="7">
        <f>IF(F223="","",F223*G223)</f>
        <v/>
      </c>
      <c r="I223" s="8">
        <f>IF(F223="","",IF(F223&gt;=50,5%,IF(F223&gt;=20,2%,0)))</f>
        <v/>
      </c>
      <c r="J223" s="7">
        <f>IF(H223="","",ROUND(H223*I223,0))</f>
        <v/>
      </c>
      <c r="K223" s="7">
        <f>IF(H223="","",ROUND((H223-J223)*'Danh mục'!$F$3/100,0))</f>
        <v/>
      </c>
      <c r="L223" s="7">
        <f>IF(H223="","",H223-J223+K223)</f>
        <v/>
      </c>
      <c r="M223">
        <f>IF(A223="","",MONTH(A223))</f>
        <v/>
      </c>
    </row>
    <row r="224" spans="1:13">
      <c r="A224" s="6"/>
      <c r="B224" s="4"/>
      <c r="C224" s="4"/>
      <c r="D224" s="4"/>
      <c r="E224">
        <f>IF(D224="","",IFERROR(VLOOKUP(D224,'Danh mục'!$A$4:$C$13,2,FALSE),"Không rõ mã"))</f>
        <v/>
      </c>
      <c r="F224" s="3"/>
      <c r="G224" s="7">
        <f>IF(D224="","",IFERROR(VLOOKUP(D224,'Danh mục'!$A$4:$C$13,3,FALSE),0))</f>
        <v/>
      </c>
      <c r="H224" s="7">
        <f>IF(F224="","",F224*G224)</f>
        <v/>
      </c>
      <c r="I224" s="8">
        <f>IF(F224="","",IF(F224&gt;=50,5%,IF(F224&gt;=20,2%,0)))</f>
        <v/>
      </c>
      <c r="J224" s="7">
        <f>IF(H224="","",ROUND(H224*I224,0))</f>
        <v/>
      </c>
      <c r="K224" s="7">
        <f>IF(H224="","",ROUND((H224-J224)*'Danh mục'!$F$3/100,0))</f>
        <v/>
      </c>
      <c r="L224" s="7">
        <f>IF(H224="","",H224-J224+K224)</f>
        <v/>
      </c>
      <c r="M224">
        <f>IF(A224="","",MONTH(A224))</f>
        <v/>
      </c>
    </row>
    <row r="225" spans="1:13">
      <c r="A225" s="6"/>
      <c r="B225" s="4"/>
      <c r="C225" s="4"/>
      <c r="D225" s="4"/>
      <c r="E225">
        <f>IF(D225="","",IFERROR(VLOOKUP(D225,'Danh mục'!$A$4:$C$13,2,FALSE),"Không rõ mã"))</f>
        <v/>
      </c>
      <c r="F225" s="3"/>
      <c r="G225" s="7">
        <f>IF(D225="","",IFERROR(VLOOKUP(D225,'Danh mục'!$A$4:$C$13,3,FALSE),0))</f>
        <v/>
      </c>
      <c r="H225" s="7">
        <f>IF(F225="","",F225*G225)</f>
        <v/>
      </c>
      <c r="I225" s="8">
        <f>IF(F225="","",IF(F225&gt;=50,5%,IF(F225&gt;=20,2%,0)))</f>
        <v/>
      </c>
      <c r="J225" s="7">
        <f>IF(H225="","",ROUND(H225*I225,0))</f>
        <v/>
      </c>
      <c r="K225" s="7">
        <f>IF(H225="","",ROUND((H225-J225)*'Danh mục'!$F$3/100,0))</f>
        <v/>
      </c>
      <c r="L225" s="7">
        <f>IF(H225="","",H225-J225+K225)</f>
        <v/>
      </c>
      <c r="M225">
        <f>IF(A225="","",MONTH(A225))</f>
        <v/>
      </c>
    </row>
    <row r="226" spans="1:13">
      <c r="A226" s="6"/>
      <c r="B226" s="4"/>
      <c r="C226" s="4"/>
      <c r="D226" s="4"/>
      <c r="E226">
        <f>IF(D226="","",IFERROR(VLOOKUP(D226,'Danh mục'!$A$4:$C$13,2,FALSE),"Không rõ mã"))</f>
        <v/>
      </c>
      <c r="F226" s="3"/>
      <c r="G226" s="7">
        <f>IF(D226="","",IFERROR(VLOOKUP(D226,'Danh mục'!$A$4:$C$13,3,FALSE),0))</f>
        <v/>
      </c>
      <c r="H226" s="7">
        <f>IF(F226="","",F226*G226)</f>
        <v/>
      </c>
      <c r="I226" s="8">
        <f>IF(F226="","",IF(F226&gt;=50,5%,IF(F226&gt;=20,2%,0)))</f>
        <v/>
      </c>
      <c r="J226" s="7">
        <f>IF(H226="","",ROUND(H226*I226,0))</f>
        <v/>
      </c>
      <c r="K226" s="7">
        <f>IF(H226="","",ROUND((H226-J226)*'Danh mục'!$F$3/100,0))</f>
        <v/>
      </c>
      <c r="L226" s="7">
        <f>IF(H226="","",H226-J226+K226)</f>
        <v/>
      </c>
      <c r="M226">
        <f>IF(A226="","",MONTH(A226))</f>
        <v/>
      </c>
    </row>
    <row r="227" spans="1:13">
      <c r="A227" s="6"/>
      <c r="B227" s="4"/>
      <c r="C227" s="4"/>
      <c r="D227" s="4"/>
      <c r="E227">
        <f>IF(D227="","",IFERROR(VLOOKUP(D227,'Danh mục'!$A$4:$C$13,2,FALSE),"Không rõ mã"))</f>
        <v/>
      </c>
      <c r="F227" s="3"/>
      <c r="G227" s="7">
        <f>IF(D227="","",IFERROR(VLOOKUP(D227,'Danh mục'!$A$4:$C$13,3,FALSE),0))</f>
        <v/>
      </c>
      <c r="H227" s="7">
        <f>IF(F227="","",F227*G227)</f>
        <v/>
      </c>
      <c r="I227" s="8">
        <f>IF(F227="","",IF(F227&gt;=50,5%,IF(F227&gt;=20,2%,0)))</f>
        <v/>
      </c>
      <c r="J227" s="7">
        <f>IF(H227="","",ROUND(H227*I227,0))</f>
        <v/>
      </c>
      <c r="K227" s="7">
        <f>IF(H227="","",ROUND((H227-J227)*'Danh mục'!$F$3/100,0))</f>
        <v/>
      </c>
      <c r="L227" s="7">
        <f>IF(H227="","",H227-J227+K227)</f>
        <v/>
      </c>
      <c r="M227">
        <f>IF(A227="","",MONTH(A227))</f>
        <v/>
      </c>
    </row>
    <row r="228" spans="1:13">
      <c r="A228" s="6"/>
      <c r="B228" s="4"/>
      <c r="C228" s="4"/>
      <c r="D228" s="4"/>
      <c r="E228">
        <f>IF(D228="","",IFERROR(VLOOKUP(D228,'Danh mục'!$A$4:$C$13,2,FALSE),"Không rõ mã"))</f>
        <v/>
      </c>
      <c r="F228" s="3"/>
      <c r="G228" s="7">
        <f>IF(D228="","",IFERROR(VLOOKUP(D228,'Danh mục'!$A$4:$C$13,3,FALSE),0))</f>
        <v/>
      </c>
      <c r="H228" s="7">
        <f>IF(F228="","",F228*G228)</f>
        <v/>
      </c>
      <c r="I228" s="8">
        <f>IF(F228="","",IF(F228&gt;=50,5%,IF(F228&gt;=20,2%,0)))</f>
        <v/>
      </c>
      <c r="J228" s="7">
        <f>IF(H228="","",ROUND(H228*I228,0))</f>
        <v/>
      </c>
      <c r="K228" s="7">
        <f>IF(H228="","",ROUND((H228-J228)*'Danh mục'!$F$3/100,0))</f>
        <v/>
      </c>
      <c r="L228" s="7">
        <f>IF(H228="","",H228-J228+K228)</f>
        <v/>
      </c>
      <c r="M228">
        <f>IF(A228="","",MONTH(A228))</f>
        <v/>
      </c>
    </row>
    <row r="229" spans="1:13">
      <c r="A229" s="6"/>
      <c r="B229" s="4"/>
      <c r="C229" s="4"/>
      <c r="D229" s="4"/>
      <c r="E229">
        <f>IF(D229="","",IFERROR(VLOOKUP(D229,'Danh mục'!$A$4:$C$13,2,FALSE),"Không rõ mã"))</f>
        <v/>
      </c>
      <c r="F229" s="3"/>
      <c r="G229" s="7">
        <f>IF(D229="","",IFERROR(VLOOKUP(D229,'Danh mục'!$A$4:$C$13,3,FALSE),0))</f>
        <v/>
      </c>
      <c r="H229" s="7">
        <f>IF(F229="","",F229*G229)</f>
        <v/>
      </c>
      <c r="I229" s="8">
        <f>IF(F229="","",IF(F229&gt;=50,5%,IF(F229&gt;=20,2%,0)))</f>
        <v/>
      </c>
      <c r="J229" s="7">
        <f>IF(H229="","",ROUND(H229*I229,0))</f>
        <v/>
      </c>
      <c r="K229" s="7">
        <f>IF(H229="","",ROUND((H229-J229)*'Danh mục'!$F$3/100,0))</f>
        <v/>
      </c>
      <c r="L229" s="7">
        <f>IF(H229="","",H229-J229+K229)</f>
        <v/>
      </c>
      <c r="M229">
        <f>IF(A229="","",MONTH(A229))</f>
        <v/>
      </c>
    </row>
    <row r="230" spans="1:13">
      <c r="A230" s="6"/>
      <c r="B230" s="4"/>
      <c r="C230" s="4"/>
      <c r="D230" s="4"/>
      <c r="E230">
        <f>IF(D230="","",IFERROR(VLOOKUP(D230,'Danh mục'!$A$4:$C$13,2,FALSE),"Không rõ mã"))</f>
        <v/>
      </c>
      <c r="F230" s="3"/>
      <c r="G230" s="7">
        <f>IF(D230="","",IFERROR(VLOOKUP(D230,'Danh mục'!$A$4:$C$13,3,FALSE),0))</f>
        <v/>
      </c>
      <c r="H230" s="7">
        <f>IF(F230="","",F230*G230)</f>
        <v/>
      </c>
      <c r="I230" s="8">
        <f>IF(F230="","",IF(F230&gt;=50,5%,IF(F230&gt;=20,2%,0)))</f>
        <v/>
      </c>
      <c r="J230" s="7">
        <f>IF(H230="","",ROUND(H230*I230,0))</f>
        <v/>
      </c>
      <c r="K230" s="7">
        <f>IF(H230="","",ROUND((H230-J230)*'Danh mục'!$F$3/100,0))</f>
        <v/>
      </c>
      <c r="L230" s="7">
        <f>IF(H230="","",H230-J230+K230)</f>
        <v/>
      </c>
      <c r="M230">
        <f>IF(A230="","",MONTH(A230))</f>
        <v/>
      </c>
    </row>
    <row r="231" spans="1:13">
      <c r="A231" s="6"/>
      <c r="B231" s="4"/>
      <c r="C231" s="4"/>
      <c r="D231" s="4"/>
      <c r="E231">
        <f>IF(D231="","",IFERROR(VLOOKUP(D231,'Danh mục'!$A$4:$C$13,2,FALSE),"Không rõ mã"))</f>
        <v/>
      </c>
      <c r="F231" s="3"/>
      <c r="G231" s="7">
        <f>IF(D231="","",IFERROR(VLOOKUP(D231,'Danh mục'!$A$4:$C$13,3,FALSE),0))</f>
        <v/>
      </c>
      <c r="H231" s="7">
        <f>IF(F231="","",F231*G231)</f>
        <v/>
      </c>
      <c r="I231" s="8">
        <f>IF(F231="","",IF(F231&gt;=50,5%,IF(F231&gt;=20,2%,0)))</f>
        <v/>
      </c>
      <c r="J231" s="7">
        <f>IF(H231="","",ROUND(H231*I231,0))</f>
        <v/>
      </c>
      <c r="K231" s="7">
        <f>IF(H231="","",ROUND((H231-J231)*'Danh mục'!$F$3/100,0))</f>
        <v/>
      </c>
      <c r="L231" s="7">
        <f>IF(H231="","",H231-J231+K231)</f>
        <v/>
      </c>
      <c r="M231">
        <f>IF(A231="","",MONTH(A231))</f>
        <v/>
      </c>
    </row>
    <row r="232" spans="1:13">
      <c r="A232" s="6"/>
      <c r="B232" s="4"/>
      <c r="C232" s="4"/>
      <c r="D232" s="4"/>
      <c r="E232">
        <f>IF(D232="","",IFERROR(VLOOKUP(D232,'Danh mục'!$A$4:$C$13,2,FALSE),"Không rõ mã"))</f>
        <v/>
      </c>
      <c r="F232" s="3"/>
      <c r="G232" s="7">
        <f>IF(D232="","",IFERROR(VLOOKUP(D232,'Danh mục'!$A$4:$C$13,3,FALSE),0))</f>
        <v/>
      </c>
      <c r="H232" s="7">
        <f>IF(F232="","",F232*G232)</f>
        <v/>
      </c>
      <c r="I232" s="8">
        <f>IF(F232="","",IF(F232&gt;=50,5%,IF(F232&gt;=20,2%,0)))</f>
        <v/>
      </c>
      <c r="J232" s="7">
        <f>IF(H232="","",ROUND(H232*I232,0))</f>
        <v/>
      </c>
      <c r="K232" s="7">
        <f>IF(H232="","",ROUND((H232-J232)*'Danh mục'!$F$3/100,0))</f>
        <v/>
      </c>
      <c r="L232" s="7">
        <f>IF(H232="","",H232-J232+K232)</f>
        <v/>
      </c>
      <c r="M232">
        <f>IF(A232="","",MONTH(A232))</f>
        <v/>
      </c>
    </row>
    <row r="233" spans="1:13">
      <c r="A233" s="6"/>
      <c r="B233" s="4"/>
      <c r="C233" s="4"/>
      <c r="D233" s="4"/>
      <c r="E233">
        <f>IF(D233="","",IFERROR(VLOOKUP(D233,'Danh mục'!$A$4:$C$13,2,FALSE),"Không rõ mã"))</f>
        <v/>
      </c>
      <c r="F233" s="3"/>
      <c r="G233" s="7">
        <f>IF(D233="","",IFERROR(VLOOKUP(D233,'Danh mục'!$A$4:$C$13,3,FALSE),0))</f>
        <v/>
      </c>
      <c r="H233" s="7">
        <f>IF(F233="","",F233*G233)</f>
        <v/>
      </c>
      <c r="I233" s="8">
        <f>IF(F233="","",IF(F233&gt;=50,5%,IF(F233&gt;=20,2%,0)))</f>
        <v/>
      </c>
      <c r="J233" s="7">
        <f>IF(H233="","",ROUND(H233*I233,0))</f>
        <v/>
      </c>
      <c r="K233" s="7">
        <f>IF(H233="","",ROUND((H233-J233)*'Danh mục'!$F$3/100,0))</f>
        <v/>
      </c>
      <c r="L233" s="7">
        <f>IF(H233="","",H233-J233+K233)</f>
        <v/>
      </c>
      <c r="M233">
        <f>IF(A233="","",MONTH(A233))</f>
        <v/>
      </c>
    </row>
    <row r="234" spans="1:13">
      <c r="A234" s="6"/>
      <c r="B234" s="4"/>
      <c r="C234" s="4"/>
      <c r="D234" s="4"/>
      <c r="E234">
        <f>IF(D234="","",IFERROR(VLOOKUP(D234,'Danh mục'!$A$4:$C$13,2,FALSE),"Không rõ mã"))</f>
        <v/>
      </c>
      <c r="F234" s="3"/>
      <c r="G234" s="7">
        <f>IF(D234="","",IFERROR(VLOOKUP(D234,'Danh mục'!$A$4:$C$13,3,FALSE),0))</f>
        <v/>
      </c>
      <c r="H234" s="7">
        <f>IF(F234="","",F234*G234)</f>
        <v/>
      </c>
      <c r="I234" s="8">
        <f>IF(F234="","",IF(F234&gt;=50,5%,IF(F234&gt;=20,2%,0)))</f>
        <v/>
      </c>
      <c r="J234" s="7">
        <f>IF(H234="","",ROUND(H234*I234,0))</f>
        <v/>
      </c>
      <c r="K234" s="7">
        <f>IF(H234="","",ROUND((H234-J234)*'Danh mục'!$F$3/100,0))</f>
        <v/>
      </c>
      <c r="L234" s="7">
        <f>IF(H234="","",H234-J234+K234)</f>
        <v/>
      </c>
      <c r="M234">
        <f>IF(A234="","",MONTH(A234))</f>
        <v/>
      </c>
    </row>
    <row r="235" spans="1:13">
      <c r="A235" s="6"/>
      <c r="B235" s="4"/>
      <c r="C235" s="4"/>
      <c r="D235" s="4"/>
      <c r="E235">
        <f>IF(D235="","",IFERROR(VLOOKUP(D235,'Danh mục'!$A$4:$C$13,2,FALSE),"Không rõ mã"))</f>
        <v/>
      </c>
      <c r="F235" s="3"/>
      <c r="G235" s="7">
        <f>IF(D235="","",IFERROR(VLOOKUP(D235,'Danh mục'!$A$4:$C$13,3,FALSE),0))</f>
        <v/>
      </c>
      <c r="H235" s="7">
        <f>IF(F235="","",F235*G235)</f>
        <v/>
      </c>
      <c r="I235" s="8">
        <f>IF(F235="","",IF(F235&gt;=50,5%,IF(F235&gt;=20,2%,0)))</f>
        <v/>
      </c>
      <c r="J235" s="7">
        <f>IF(H235="","",ROUND(H235*I235,0))</f>
        <v/>
      </c>
      <c r="K235" s="7">
        <f>IF(H235="","",ROUND((H235-J235)*'Danh mục'!$F$3/100,0))</f>
        <v/>
      </c>
      <c r="L235" s="7">
        <f>IF(H235="","",H235-J235+K235)</f>
        <v/>
      </c>
      <c r="M235">
        <f>IF(A235="","",MONTH(A235))</f>
        <v/>
      </c>
    </row>
    <row r="236" spans="1:13">
      <c r="A236" s="6"/>
      <c r="B236" s="4"/>
      <c r="C236" s="4"/>
      <c r="D236" s="4"/>
      <c r="E236">
        <f>IF(D236="","",IFERROR(VLOOKUP(D236,'Danh mục'!$A$4:$C$13,2,FALSE),"Không rõ mã"))</f>
        <v/>
      </c>
      <c r="F236" s="3"/>
      <c r="G236" s="7">
        <f>IF(D236="","",IFERROR(VLOOKUP(D236,'Danh mục'!$A$4:$C$13,3,FALSE),0))</f>
        <v/>
      </c>
      <c r="H236" s="7">
        <f>IF(F236="","",F236*G236)</f>
        <v/>
      </c>
      <c r="I236" s="8">
        <f>IF(F236="","",IF(F236&gt;=50,5%,IF(F236&gt;=20,2%,0)))</f>
        <v/>
      </c>
      <c r="J236" s="7">
        <f>IF(H236="","",ROUND(H236*I236,0))</f>
        <v/>
      </c>
      <c r="K236" s="7">
        <f>IF(H236="","",ROUND((H236-J236)*'Danh mục'!$F$3/100,0))</f>
        <v/>
      </c>
      <c r="L236" s="7">
        <f>IF(H236="","",H236-J236+K236)</f>
        <v/>
      </c>
      <c r="M236">
        <f>IF(A236="","",MONTH(A236))</f>
        <v/>
      </c>
    </row>
    <row r="237" spans="1:13">
      <c r="A237" s="6"/>
      <c r="B237" s="4"/>
      <c r="C237" s="4"/>
      <c r="D237" s="4"/>
      <c r="E237">
        <f>IF(D237="","",IFERROR(VLOOKUP(D237,'Danh mục'!$A$4:$C$13,2,FALSE),"Không rõ mã"))</f>
        <v/>
      </c>
      <c r="F237" s="3"/>
      <c r="G237" s="7">
        <f>IF(D237="","",IFERROR(VLOOKUP(D237,'Danh mục'!$A$4:$C$13,3,FALSE),0))</f>
        <v/>
      </c>
      <c r="H237" s="7">
        <f>IF(F237="","",F237*G237)</f>
        <v/>
      </c>
      <c r="I237" s="8">
        <f>IF(F237="","",IF(F237&gt;=50,5%,IF(F237&gt;=20,2%,0)))</f>
        <v/>
      </c>
      <c r="J237" s="7">
        <f>IF(H237="","",ROUND(H237*I237,0))</f>
        <v/>
      </c>
      <c r="K237" s="7">
        <f>IF(H237="","",ROUND((H237-J237)*'Danh mục'!$F$3/100,0))</f>
        <v/>
      </c>
      <c r="L237" s="7">
        <f>IF(H237="","",H237-J237+K237)</f>
        <v/>
      </c>
      <c r="M237">
        <f>IF(A237="","",MONTH(A237))</f>
        <v/>
      </c>
    </row>
    <row r="238" spans="1:13">
      <c r="A238" s="6"/>
      <c r="B238" s="4"/>
      <c r="C238" s="4"/>
      <c r="D238" s="4"/>
      <c r="E238">
        <f>IF(D238="","",IFERROR(VLOOKUP(D238,'Danh mục'!$A$4:$C$13,2,FALSE),"Không rõ mã"))</f>
        <v/>
      </c>
      <c r="F238" s="3"/>
      <c r="G238" s="7">
        <f>IF(D238="","",IFERROR(VLOOKUP(D238,'Danh mục'!$A$4:$C$13,3,FALSE),0))</f>
        <v/>
      </c>
      <c r="H238" s="7">
        <f>IF(F238="","",F238*G238)</f>
        <v/>
      </c>
      <c r="I238" s="8">
        <f>IF(F238="","",IF(F238&gt;=50,5%,IF(F238&gt;=20,2%,0)))</f>
        <v/>
      </c>
      <c r="J238" s="7">
        <f>IF(H238="","",ROUND(H238*I238,0))</f>
        <v/>
      </c>
      <c r="K238" s="7">
        <f>IF(H238="","",ROUND((H238-J238)*'Danh mục'!$F$3/100,0))</f>
        <v/>
      </c>
      <c r="L238" s="7">
        <f>IF(H238="","",H238-J238+K238)</f>
        <v/>
      </c>
      <c r="M238">
        <f>IF(A238="","",MONTH(A238))</f>
        <v/>
      </c>
    </row>
    <row r="239" spans="1:13">
      <c r="A239" s="6"/>
      <c r="B239" s="4"/>
      <c r="C239" s="4"/>
      <c r="D239" s="4"/>
      <c r="E239">
        <f>IF(D239="","",IFERROR(VLOOKUP(D239,'Danh mục'!$A$4:$C$13,2,FALSE),"Không rõ mã"))</f>
        <v/>
      </c>
      <c r="F239" s="3"/>
      <c r="G239" s="7">
        <f>IF(D239="","",IFERROR(VLOOKUP(D239,'Danh mục'!$A$4:$C$13,3,FALSE),0))</f>
        <v/>
      </c>
      <c r="H239" s="7">
        <f>IF(F239="","",F239*G239)</f>
        <v/>
      </c>
      <c r="I239" s="8">
        <f>IF(F239="","",IF(F239&gt;=50,5%,IF(F239&gt;=20,2%,0)))</f>
        <v/>
      </c>
      <c r="J239" s="7">
        <f>IF(H239="","",ROUND(H239*I239,0))</f>
        <v/>
      </c>
      <c r="K239" s="7">
        <f>IF(H239="","",ROUND((H239-J239)*'Danh mục'!$F$3/100,0))</f>
        <v/>
      </c>
      <c r="L239" s="7">
        <f>IF(H239="","",H239-J239+K239)</f>
        <v/>
      </c>
      <c r="M239">
        <f>IF(A239="","",MONTH(A239))</f>
        <v/>
      </c>
    </row>
    <row r="240" spans="1:13">
      <c r="A240" s="6"/>
      <c r="B240" s="4"/>
      <c r="C240" s="4"/>
      <c r="D240" s="4"/>
      <c r="E240">
        <f>IF(D240="","",IFERROR(VLOOKUP(D240,'Danh mục'!$A$4:$C$13,2,FALSE),"Không rõ mã"))</f>
        <v/>
      </c>
      <c r="F240" s="3"/>
      <c r="G240" s="7">
        <f>IF(D240="","",IFERROR(VLOOKUP(D240,'Danh mục'!$A$4:$C$13,3,FALSE),0))</f>
        <v/>
      </c>
      <c r="H240" s="7">
        <f>IF(F240="","",F240*G240)</f>
        <v/>
      </c>
      <c r="I240" s="8">
        <f>IF(F240="","",IF(F240&gt;=50,5%,IF(F240&gt;=20,2%,0)))</f>
        <v/>
      </c>
      <c r="J240" s="7">
        <f>IF(H240="","",ROUND(H240*I240,0))</f>
        <v/>
      </c>
      <c r="K240" s="7">
        <f>IF(H240="","",ROUND((H240-J240)*'Danh mục'!$F$3/100,0))</f>
        <v/>
      </c>
      <c r="L240" s="7">
        <f>IF(H240="","",H240-J240+K240)</f>
        <v/>
      </c>
      <c r="M240">
        <f>IF(A240="","",MONTH(A240))</f>
        <v/>
      </c>
    </row>
    <row r="241" spans="1:13">
      <c r="A241" s="6"/>
      <c r="B241" s="4"/>
      <c r="C241" s="4"/>
      <c r="D241" s="4"/>
      <c r="E241">
        <f>IF(D241="","",IFERROR(VLOOKUP(D241,'Danh mục'!$A$4:$C$13,2,FALSE),"Không rõ mã"))</f>
        <v/>
      </c>
      <c r="F241" s="3"/>
      <c r="G241" s="7">
        <f>IF(D241="","",IFERROR(VLOOKUP(D241,'Danh mục'!$A$4:$C$13,3,FALSE),0))</f>
        <v/>
      </c>
      <c r="H241" s="7">
        <f>IF(F241="","",F241*G241)</f>
        <v/>
      </c>
      <c r="I241" s="8">
        <f>IF(F241="","",IF(F241&gt;=50,5%,IF(F241&gt;=20,2%,0)))</f>
        <v/>
      </c>
      <c r="J241" s="7">
        <f>IF(H241="","",ROUND(H241*I241,0))</f>
        <v/>
      </c>
      <c r="K241" s="7">
        <f>IF(H241="","",ROUND((H241-J241)*'Danh mục'!$F$3/100,0))</f>
        <v/>
      </c>
      <c r="L241" s="7">
        <f>IF(H241="","",H241-J241+K241)</f>
        <v/>
      </c>
      <c r="M241">
        <f>IF(A241="","",MONTH(A241))</f>
        <v/>
      </c>
    </row>
    <row r="242" spans="1:13">
      <c r="A242" s="6"/>
      <c r="B242" s="4"/>
      <c r="C242" s="4"/>
      <c r="D242" s="4"/>
      <c r="E242">
        <f>IF(D242="","",IFERROR(VLOOKUP(D242,'Danh mục'!$A$4:$C$13,2,FALSE),"Không rõ mã"))</f>
        <v/>
      </c>
      <c r="F242" s="3"/>
      <c r="G242" s="7">
        <f>IF(D242="","",IFERROR(VLOOKUP(D242,'Danh mục'!$A$4:$C$13,3,FALSE),0))</f>
        <v/>
      </c>
      <c r="H242" s="7">
        <f>IF(F242="","",F242*G242)</f>
        <v/>
      </c>
      <c r="I242" s="8">
        <f>IF(F242="","",IF(F242&gt;=50,5%,IF(F242&gt;=20,2%,0)))</f>
        <v/>
      </c>
      <c r="J242" s="7">
        <f>IF(H242="","",ROUND(H242*I242,0))</f>
        <v/>
      </c>
      <c r="K242" s="7">
        <f>IF(H242="","",ROUND((H242-J242)*'Danh mục'!$F$3/100,0))</f>
        <v/>
      </c>
      <c r="L242" s="7">
        <f>IF(H242="","",H242-J242+K242)</f>
        <v/>
      </c>
      <c r="M242">
        <f>IF(A242="","",MONTH(A242))</f>
        <v/>
      </c>
    </row>
    <row r="243" spans="1:13">
      <c r="A243" s="6"/>
      <c r="B243" s="4"/>
      <c r="C243" s="4"/>
      <c r="D243" s="4"/>
      <c r="E243">
        <f>IF(D243="","",IFERROR(VLOOKUP(D243,'Danh mục'!$A$4:$C$13,2,FALSE),"Không rõ mã"))</f>
        <v/>
      </c>
      <c r="F243" s="3"/>
      <c r="G243" s="7">
        <f>IF(D243="","",IFERROR(VLOOKUP(D243,'Danh mục'!$A$4:$C$13,3,FALSE),0))</f>
        <v/>
      </c>
      <c r="H243" s="7">
        <f>IF(F243="","",F243*G243)</f>
        <v/>
      </c>
      <c r="I243" s="8">
        <f>IF(F243="","",IF(F243&gt;=50,5%,IF(F243&gt;=20,2%,0)))</f>
        <v/>
      </c>
      <c r="J243" s="7">
        <f>IF(H243="","",ROUND(H243*I243,0))</f>
        <v/>
      </c>
      <c r="K243" s="7">
        <f>IF(H243="","",ROUND((H243-J243)*'Danh mục'!$F$3/100,0))</f>
        <v/>
      </c>
      <c r="L243" s="7">
        <f>IF(H243="","",H243-J243+K243)</f>
        <v/>
      </c>
      <c r="M243">
        <f>IF(A243="","",MONTH(A243))</f>
        <v/>
      </c>
    </row>
    <row r="244" spans="1:13">
      <c r="A244" s="6"/>
      <c r="B244" s="4"/>
      <c r="C244" s="4"/>
      <c r="D244" s="4"/>
      <c r="E244">
        <f>IF(D244="","",IFERROR(VLOOKUP(D244,'Danh mục'!$A$4:$C$13,2,FALSE),"Không rõ mã"))</f>
        <v/>
      </c>
      <c r="F244" s="3"/>
      <c r="G244" s="7">
        <f>IF(D244="","",IFERROR(VLOOKUP(D244,'Danh mục'!$A$4:$C$13,3,FALSE),0))</f>
        <v/>
      </c>
      <c r="H244" s="7">
        <f>IF(F244="","",F244*G244)</f>
        <v/>
      </c>
      <c r="I244" s="8">
        <f>IF(F244="","",IF(F244&gt;=50,5%,IF(F244&gt;=20,2%,0)))</f>
        <v/>
      </c>
      <c r="J244" s="7">
        <f>IF(H244="","",ROUND(H244*I244,0))</f>
        <v/>
      </c>
      <c r="K244" s="7">
        <f>IF(H244="","",ROUND((H244-J244)*'Danh mục'!$F$3/100,0))</f>
        <v/>
      </c>
      <c r="L244" s="7">
        <f>IF(H244="","",H244-J244+K244)</f>
        <v/>
      </c>
      <c r="M244">
        <f>IF(A244="","",MONTH(A244))</f>
        <v/>
      </c>
    </row>
    <row r="245" spans="1:13">
      <c r="A245" s="6"/>
      <c r="B245" s="4"/>
      <c r="C245" s="4"/>
      <c r="D245" s="4"/>
      <c r="E245">
        <f>IF(D245="","",IFERROR(VLOOKUP(D245,'Danh mục'!$A$4:$C$13,2,FALSE),"Không rõ mã"))</f>
        <v/>
      </c>
      <c r="F245" s="3"/>
      <c r="G245" s="7">
        <f>IF(D245="","",IFERROR(VLOOKUP(D245,'Danh mục'!$A$4:$C$13,3,FALSE),0))</f>
        <v/>
      </c>
      <c r="H245" s="7">
        <f>IF(F245="","",F245*G245)</f>
        <v/>
      </c>
      <c r="I245" s="8">
        <f>IF(F245="","",IF(F245&gt;=50,5%,IF(F245&gt;=20,2%,0)))</f>
        <v/>
      </c>
      <c r="J245" s="7">
        <f>IF(H245="","",ROUND(H245*I245,0))</f>
        <v/>
      </c>
      <c r="K245" s="7">
        <f>IF(H245="","",ROUND((H245-J245)*'Danh mục'!$F$3/100,0))</f>
        <v/>
      </c>
      <c r="L245" s="7">
        <f>IF(H245="","",H245-J245+K245)</f>
        <v/>
      </c>
      <c r="M245">
        <f>IF(A245="","",MONTH(A245))</f>
        <v/>
      </c>
    </row>
    <row r="246" spans="1:13">
      <c r="A246" s="6"/>
      <c r="B246" s="4"/>
      <c r="C246" s="4"/>
      <c r="D246" s="4"/>
      <c r="E246">
        <f>IF(D246="","",IFERROR(VLOOKUP(D246,'Danh mục'!$A$4:$C$13,2,FALSE),"Không rõ mã"))</f>
        <v/>
      </c>
      <c r="F246" s="3"/>
      <c r="G246" s="7">
        <f>IF(D246="","",IFERROR(VLOOKUP(D246,'Danh mục'!$A$4:$C$13,3,FALSE),0))</f>
        <v/>
      </c>
      <c r="H246" s="7">
        <f>IF(F246="","",F246*G246)</f>
        <v/>
      </c>
      <c r="I246" s="8">
        <f>IF(F246="","",IF(F246&gt;=50,5%,IF(F246&gt;=20,2%,0)))</f>
        <v/>
      </c>
      <c r="J246" s="7">
        <f>IF(H246="","",ROUND(H246*I246,0))</f>
        <v/>
      </c>
      <c r="K246" s="7">
        <f>IF(H246="","",ROUND((H246-J246)*'Danh mục'!$F$3/100,0))</f>
        <v/>
      </c>
      <c r="L246" s="7">
        <f>IF(H246="","",H246-J246+K246)</f>
        <v/>
      </c>
      <c r="M246">
        <f>IF(A246="","",MONTH(A246))</f>
        <v/>
      </c>
    </row>
    <row r="247" spans="1:13">
      <c r="A247" s="6"/>
      <c r="B247" s="4"/>
      <c r="C247" s="4"/>
      <c r="D247" s="4"/>
      <c r="E247">
        <f>IF(D247="","",IFERROR(VLOOKUP(D247,'Danh mục'!$A$4:$C$13,2,FALSE),"Không rõ mã"))</f>
        <v/>
      </c>
      <c r="F247" s="3"/>
      <c r="G247" s="7">
        <f>IF(D247="","",IFERROR(VLOOKUP(D247,'Danh mục'!$A$4:$C$13,3,FALSE),0))</f>
        <v/>
      </c>
      <c r="H247" s="7">
        <f>IF(F247="","",F247*G247)</f>
        <v/>
      </c>
      <c r="I247" s="8">
        <f>IF(F247="","",IF(F247&gt;=50,5%,IF(F247&gt;=20,2%,0)))</f>
        <v/>
      </c>
      <c r="J247" s="7">
        <f>IF(H247="","",ROUND(H247*I247,0))</f>
        <v/>
      </c>
      <c r="K247" s="7">
        <f>IF(H247="","",ROUND((H247-J247)*'Danh mục'!$F$3/100,0))</f>
        <v/>
      </c>
      <c r="L247" s="7">
        <f>IF(H247="","",H247-J247+K247)</f>
        <v/>
      </c>
      <c r="M247">
        <f>IF(A247="","",MONTH(A247))</f>
        <v/>
      </c>
    </row>
    <row r="248" spans="1:13">
      <c r="A248" s="6"/>
      <c r="B248" s="4"/>
      <c r="C248" s="4"/>
      <c r="D248" s="4"/>
      <c r="E248">
        <f>IF(D248="","",IFERROR(VLOOKUP(D248,'Danh mục'!$A$4:$C$13,2,FALSE),"Không rõ mã"))</f>
        <v/>
      </c>
      <c r="F248" s="3"/>
      <c r="G248" s="7">
        <f>IF(D248="","",IFERROR(VLOOKUP(D248,'Danh mục'!$A$4:$C$13,3,FALSE),0))</f>
        <v/>
      </c>
      <c r="H248" s="7">
        <f>IF(F248="","",F248*G248)</f>
        <v/>
      </c>
      <c r="I248" s="8">
        <f>IF(F248="","",IF(F248&gt;=50,5%,IF(F248&gt;=20,2%,0)))</f>
        <v/>
      </c>
      <c r="J248" s="7">
        <f>IF(H248="","",ROUND(H248*I248,0))</f>
        <v/>
      </c>
      <c r="K248" s="7">
        <f>IF(H248="","",ROUND((H248-J248)*'Danh mục'!$F$3/100,0))</f>
        <v/>
      </c>
      <c r="L248" s="7">
        <f>IF(H248="","",H248-J248+K248)</f>
        <v/>
      </c>
      <c r="M248">
        <f>IF(A248="","",MONTH(A248))</f>
        <v/>
      </c>
    </row>
    <row r="249" spans="1:13">
      <c r="A249" s="6"/>
      <c r="B249" s="4"/>
      <c r="C249" s="4"/>
      <c r="D249" s="4"/>
      <c r="E249">
        <f>IF(D249="","",IFERROR(VLOOKUP(D249,'Danh mục'!$A$4:$C$13,2,FALSE),"Không rõ mã"))</f>
        <v/>
      </c>
      <c r="F249" s="3"/>
      <c r="G249" s="7">
        <f>IF(D249="","",IFERROR(VLOOKUP(D249,'Danh mục'!$A$4:$C$13,3,FALSE),0))</f>
        <v/>
      </c>
      <c r="H249" s="7">
        <f>IF(F249="","",F249*G249)</f>
        <v/>
      </c>
      <c r="I249" s="8">
        <f>IF(F249="","",IF(F249&gt;=50,5%,IF(F249&gt;=20,2%,0)))</f>
        <v/>
      </c>
      <c r="J249" s="7">
        <f>IF(H249="","",ROUND(H249*I249,0))</f>
        <v/>
      </c>
      <c r="K249" s="7">
        <f>IF(H249="","",ROUND((H249-J249)*'Danh mục'!$F$3/100,0))</f>
        <v/>
      </c>
      <c r="L249" s="7">
        <f>IF(H249="","",H249-J249+K249)</f>
        <v/>
      </c>
      <c r="M249">
        <f>IF(A249="","",MONTH(A249))</f>
        <v/>
      </c>
    </row>
    <row r="250" spans="1:13">
      <c r="A250" s="6"/>
      <c r="B250" s="4"/>
      <c r="C250" s="4"/>
      <c r="D250" s="4"/>
      <c r="E250">
        <f>IF(D250="","",IFERROR(VLOOKUP(D250,'Danh mục'!$A$4:$C$13,2,FALSE),"Không rõ mã"))</f>
        <v/>
      </c>
      <c r="F250" s="3"/>
      <c r="G250" s="7">
        <f>IF(D250="","",IFERROR(VLOOKUP(D250,'Danh mục'!$A$4:$C$13,3,FALSE),0))</f>
        <v/>
      </c>
      <c r="H250" s="7">
        <f>IF(F250="","",F250*G250)</f>
        <v/>
      </c>
      <c r="I250" s="8">
        <f>IF(F250="","",IF(F250&gt;=50,5%,IF(F250&gt;=20,2%,0)))</f>
        <v/>
      </c>
      <c r="J250" s="7">
        <f>IF(H250="","",ROUND(H250*I250,0))</f>
        <v/>
      </c>
      <c r="K250" s="7">
        <f>IF(H250="","",ROUND((H250-J250)*'Danh mục'!$F$3/100,0))</f>
        <v/>
      </c>
      <c r="L250" s="7">
        <f>IF(H250="","",H250-J250+K250)</f>
        <v/>
      </c>
      <c r="M250">
        <f>IF(A250="","",MONTH(A250))</f>
        <v/>
      </c>
    </row>
    <row r="251" spans="1:13">
      <c r="A251" s="6"/>
      <c r="B251" s="4"/>
      <c r="C251" s="4"/>
      <c r="D251" s="4"/>
      <c r="E251">
        <f>IF(D251="","",IFERROR(VLOOKUP(D251,'Danh mục'!$A$4:$C$13,2,FALSE),"Không rõ mã"))</f>
        <v/>
      </c>
      <c r="F251" s="3"/>
      <c r="G251" s="7">
        <f>IF(D251="","",IFERROR(VLOOKUP(D251,'Danh mục'!$A$4:$C$13,3,FALSE),0))</f>
        <v/>
      </c>
      <c r="H251" s="7">
        <f>IF(F251="","",F251*G251)</f>
        <v/>
      </c>
      <c r="I251" s="8">
        <f>IF(F251="","",IF(F251&gt;=50,5%,IF(F251&gt;=20,2%,0)))</f>
        <v/>
      </c>
      <c r="J251" s="7">
        <f>IF(H251="","",ROUND(H251*I251,0))</f>
        <v/>
      </c>
      <c r="K251" s="7">
        <f>IF(H251="","",ROUND((H251-J251)*'Danh mục'!$F$3/100,0))</f>
        <v/>
      </c>
      <c r="L251" s="7">
        <f>IF(H251="","",H251-J251+K251)</f>
        <v/>
      </c>
      <c r="M251">
        <f>IF(A251="","",MONTH(A251))</f>
        <v/>
      </c>
    </row>
    <row r="252" spans="1:13">
      <c r="A252" s="6"/>
      <c r="B252" s="4"/>
      <c r="C252" s="4"/>
      <c r="D252" s="4"/>
      <c r="E252">
        <f>IF(D252="","",IFERROR(VLOOKUP(D252,'Danh mục'!$A$4:$C$13,2,FALSE),"Không rõ mã"))</f>
        <v/>
      </c>
      <c r="F252" s="3"/>
      <c r="G252" s="7">
        <f>IF(D252="","",IFERROR(VLOOKUP(D252,'Danh mục'!$A$4:$C$13,3,FALSE),0))</f>
        <v/>
      </c>
      <c r="H252" s="7">
        <f>IF(F252="","",F252*G252)</f>
        <v/>
      </c>
      <c r="I252" s="8">
        <f>IF(F252="","",IF(F252&gt;=50,5%,IF(F252&gt;=20,2%,0)))</f>
        <v/>
      </c>
      <c r="J252" s="7">
        <f>IF(H252="","",ROUND(H252*I252,0))</f>
        <v/>
      </c>
      <c r="K252" s="7">
        <f>IF(H252="","",ROUND((H252-J252)*'Danh mục'!$F$3/100,0))</f>
        <v/>
      </c>
      <c r="L252" s="7">
        <f>IF(H252="","",H252-J252+K252)</f>
        <v/>
      </c>
      <c r="M252">
        <f>IF(A252="","",MONTH(A252))</f>
        <v/>
      </c>
    </row>
    <row r="253" spans="1:13">
      <c r="A253" s="6"/>
      <c r="B253" s="4"/>
      <c r="C253" s="4"/>
      <c r="D253" s="4"/>
      <c r="E253">
        <f>IF(D253="","",IFERROR(VLOOKUP(D253,'Danh mục'!$A$4:$C$13,2,FALSE),"Không rõ mã"))</f>
        <v/>
      </c>
      <c r="F253" s="3"/>
      <c r="G253" s="7">
        <f>IF(D253="","",IFERROR(VLOOKUP(D253,'Danh mục'!$A$4:$C$13,3,FALSE),0))</f>
        <v/>
      </c>
      <c r="H253" s="7">
        <f>IF(F253="","",F253*G253)</f>
        <v/>
      </c>
      <c r="I253" s="8">
        <f>IF(F253="","",IF(F253&gt;=50,5%,IF(F253&gt;=20,2%,0)))</f>
        <v/>
      </c>
      <c r="J253" s="7">
        <f>IF(H253="","",ROUND(H253*I253,0))</f>
        <v/>
      </c>
      <c r="K253" s="7">
        <f>IF(H253="","",ROUND((H253-J253)*'Danh mục'!$F$3/100,0))</f>
        <v/>
      </c>
      <c r="L253" s="7">
        <f>IF(H253="","",H253-J253+K253)</f>
        <v/>
      </c>
      <c r="M253">
        <f>IF(A253="","",MONTH(A253))</f>
        <v/>
      </c>
    </row>
    <row r="254" spans="1:13">
      <c r="A254" s="6"/>
      <c r="B254" s="4"/>
      <c r="C254" s="4"/>
      <c r="D254" s="4"/>
      <c r="E254">
        <f>IF(D254="","",IFERROR(VLOOKUP(D254,'Danh mục'!$A$4:$C$13,2,FALSE),"Không rõ mã"))</f>
        <v/>
      </c>
      <c r="F254" s="3"/>
      <c r="G254" s="7">
        <f>IF(D254="","",IFERROR(VLOOKUP(D254,'Danh mục'!$A$4:$C$13,3,FALSE),0))</f>
        <v/>
      </c>
      <c r="H254" s="7">
        <f>IF(F254="","",F254*G254)</f>
        <v/>
      </c>
      <c r="I254" s="8">
        <f>IF(F254="","",IF(F254&gt;=50,5%,IF(F254&gt;=20,2%,0)))</f>
        <v/>
      </c>
      <c r="J254" s="7">
        <f>IF(H254="","",ROUND(H254*I254,0))</f>
        <v/>
      </c>
      <c r="K254" s="7">
        <f>IF(H254="","",ROUND((H254-J254)*'Danh mục'!$F$3/100,0))</f>
        <v/>
      </c>
      <c r="L254" s="7">
        <f>IF(H254="","",H254-J254+K254)</f>
        <v/>
      </c>
      <c r="M254">
        <f>IF(A254="","",MONTH(A254))</f>
        <v/>
      </c>
    </row>
    <row r="255" spans="1:13">
      <c r="A255" s="6"/>
      <c r="B255" s="4"/>
      <c r="C255" s="4"/>
      <c r="D255" s="4"/>
      <c r="E255">
        <f>IF(D255="","",IFERROR(VLOOKUP(D255,'Danh mục'!$A$4:$C$13,2,FALSE),"Không rõ mã"))</f>
        <v/>
      </c>
      <c r="F255" s="3"/>
      <c r="G255" s="7">
        <f>IF(D255="","",IFERROR(VLOOKUP(D255,'Danh mục'!$A$4:$C$13,3,FALSE),0))</f>
        <v/>
      </c>
      <c r="H255" s="7">
        <f>IF(F255="","",F255*G255)</f>
        <v/>
      </c>
      <c r="I255" s="8">
        <f>IF(F255="","",IF(F255&gt;=50,5%,IF(F255&gt;=20,2%,0)))</f>
        <v/>
      </c>
      <c r="J255" s="7">
        <f>IF(H255="","",ROUND(H255*I255,0))</f>
        <v/>
      </c>
      <c r="K255" s="7">
        <f>IF(H255="","",ROUND((H255-J255)*'Danh mục'!$F$3/100,0))</f>
        <v/>
      </c>
      <c r="L255" s="7">
        <f>IF(H255="","",H255-J255+K255)</f>
        <v/>
      </c>
      <c r="M255">
        <f>IF(A255="","",MONTH(A255))</f>
        <v/>
      </c>
    </row>
    <row r="256" spans="1:13">
      <c r="A256" s="6"/>
      <c r="B256" s="4"/>
      <c r="C256" s="4"/>
      <c r="D256" s="4"/>
      <c r="E256">
        <f>IF(D256="","",IFERROR(VLOOKUP(D256,'Danh mục'!$A$4:$C$13,2,FALSE),"Không rõ mã"))</f>
        <v/>
      </c>
      <c r="F256" s="3"/>
      <c r="G256" s="7">
        <f>IF(D256="","",IFERROR(VLOOKUP(D256,'Danh mục'!$A$4:$C$13,3,FALSE),0))</f>
        <v/>
      </c>
      <c r="H256" s="7">
        <f>IF(F256="","",F256*G256)</f>
        <v/>
      </c>
      <c r="I256" s="8">
        <f>IF(F256="","",IF(F256&gt;=50,5%,IF(F256&gt;=20,2%,0)))</f>
        <v/>
      </c>
      <c r="J256" s="7">
        <f>IF(H256="","",ROUND(H256*I256,0))</f>
        <v/>
      </c>
      <c r="K256" s="7">
        <f>IF(H256="","",ROUND((H256-J256)*'Danh mục'!$F$3/100,0))</f>
        <v/>
      </c>
      <c r="L256" s="7">
        <f>IF(H256="","",H256-J256+K256)</f>
        <v/>
      </c>
      <c r="M256">
        <f>IF(A256="","",MONTH(A256))</f>
        <v/>
      </c>
    </row>
    <row r="257" spans="1:13">
      <c r="A257" s="6"/>
      <c r="B257" s="4"/>
      <c r="C257" s="4"/>
      <c r="D257" s="4"/>
      <c r="E257">
        <f>IF(D257="","",IFERROR(VLOOKUP(D257,'Danh mục'!$A$4:$C$13,2,FALSE),"Không rõ mã"))</f>
        <v/>
      </c>
      <c r="F257" s="3"/>
      <c r="G257" s="7">
        <f>IF(D257="","",IFERROR(VLOOKUP(D257,'Danh mục'!$A$4:$C$13,3,FALSE),0))</f>
        <v/>
      </c>
      <c r="H257" s="7">
        <f>IF(F257="","",F257*G257)</f>
        <v/>
      </c>
      <c r="I257" s="8">
        <f>IF(F257="","",IF(F257&gt;=50,5%,IF(F257&gt;=20,2%,0)))</f>
        <v/>
      </c>
      <c r="J257" s="7">
        <f>IF(H257="","",ROUND(H257*I257,0))</f>
        <v/>
      </c>
      <c r="K257" s="7">
        <f>IF(H257="","",ROUND((H257-J257)*'Danh mục'!$F$3/100,0))</f>
        <v/>
      </c>
      <c r="L257" s="7">
        <f>IF(H257="","",H257-J257+K257)</f>
        <v/>
      </c>
      <c r="M257">
        <f>IF(A257="","",MONTH(A257))</f>
        <v/>
      </c>
    </row>
    <row r="258" spans="1:13">
      <c r="A258" s="6"/>
      <c r="B258" s="4"/>
      <c r="C258" s="4"/>
      <c r="D258" s="4"/>
      <c r="E258">
        <f>IF(D258="","",IFERROR(VLOOKUP(D258,'Danh mục'!$A$4:$C$13,2,FALSE),"Không rõ mã"))</f>
        <v/>
      </c>
      <c r="F258" s="3"/>
      <c r="G258" s="7">
        <f>IF(D258="","",IFERROR(VLOOKUP(D258,'Danh mục'!$A$4:$C$13,3,FALSE),0))</f>
        <v/>
      </c>
      <c r="H258" s="7">
        <f>IF(F258="","",F258*G258)</f>
        <v/>
      </c>
      <c r="I258" s="8">
        <f>IF(F258="","",IF(F258&gt;=50,5%,IF(F258&gt;=20,2%,0)))</f>
        <v/>
      </c>
      <c r="J258" s="7">
        <f>IF(H258="","",ROUND(H258*I258,0))</f>
        <v/>
      </c>
      <c r="K258" s="7">
        <f>IF(H258="","",ROUND((H258-J258)*'Danh mục'!$F$3/100,0))</f>
        <v/>
      </c>
      <c r="L258" s="7">
        <f>IF(H258="","",H258-J258+K258)</f>
        <v/>
      </c>
      <c r="M258">
        <f>IF(A258="","",MONTH(A258))</f>
        <v/>
      </c>
    </row>
    <row r="259" spans="1:13">
      <c r="A259" s="6"/>
      <c r="B259" s="4"/>
      <c r="C259" s="4"/>
      <c r="D259" s="4"/>
      <c r="E259">
        <f>IF(D259="","",IFERROR(VLOOKUP(D259,'Danh mục'!$A$4:$C$13,2,FALSE),"Không rõ mã"))</f>
        <v/>
      </c>
      <c r="F259" s="3"/>
      <c r="G259" s="7">
        <f>IF(D259="","",IFERROR(VLOOKUP(D259,'Danh mục'!$A$4:$C$13,3,FALSE),0))</f>
        <v/>
      </c>
      <c r="H259" s="7">
        <f>IF(F259="","",F259*G259)</f>
        <v/>
      </c>
      <c r="I259" s="8">
        <f>IF(F259="","",IF(F259&gt;=50,5%,IF(F259&gt;=20,2%,0)))</f>
        <v/>
      </c>
      <c r="J259" s="7">
        <f>IF(H259="","",ROUND(H259*I259,0))</f>
        <v/>
      </c>
      <c r="K259" s="7">
        <f>IF(H259="","",ROUND((H259-J259)*'Danh mục'!$F$3/100,0))</f>
        <v/>
      </c>
      <c r="L259" s="7">
        <f>IF(H259="","",H259-J259+K259)</f>
        <v/>
      </c>
      <c r="M259">
        <f>IF(A259="","",MONTH(A259))</f>
        <v/>
      </c>
    </row>
    <row r="260" spans="1:13">
      <c r="A260" s="6"/>
      <c r="B260" s="4"/>
      <c r="C260" s="4"/>
      <c r="D260" s="4"/>
      <c r="E260">
        <f>IF(D260="","",IFERROR(VLOOKUP(D260,'Danh mục'!$A$4:$C$13,2,FALSE),"Không rõ mã"))</f>
        <v/>
      </c>
      <c r="F260" s="3"/>
      <c r="G260" s="7">
        <f>IF(D260="","",IFERROR(VLOOKUP(D260,'Danh mục'!$A$4:$C$13,3,FALSE),0))</f>
        <v/>
      </c>
      <c r="H260" s="7">
        <f>IF(F260="","",F260*G260)</f>
        <v/>
      </c>
      <c r="I260" s="8">
        <f>IF(F260="","",IF(F260&gt;=50,5%,IF(F260&gt;=20,2%,0)))</f>
        <v/>
      </c>
      <c r="J260" s="7">
        <f>IF(H260="","",ROUND(H260*I260,0))</f>
        <v/>
      </c>
      <c r="K260" s="7">
        <f>IF(H260="","",ROUND((H260-J260)*'Danh mục'!$F$3/100,0))</f>
        <v/>
      </c>
      <c r="L260" s="7">
        <f>IF(H260="","",H260-J260+K260)</f>
        <v/>
      </c>
      <c r="M260">
        <f>IF(A260="","",MONTH(A260))</f>
        <v/>
      </c>
    </row>
    <row r="261" spans="1:13">
      <c r="A261" s="6"/>
      <c r="B261" s="4"/>
      <c r="C261" s="4"/>
      <c r="D261" s="4"/>
      <c r="E261">
        <f>IF(D261="","",IFERROR(VLOOKUP(D261,'Danh mục'!$A$4:$C$13,2,FALSE),"Không rõ mã"))</f>
        <v/>
      </c>
      <c r="F261" s="3"/>
      <c r="G261" s="7">
        <f>IF(D261="","",IFERROR(VLOOKUP(D261,'Danh mục'!$A$4:$C$13,3,FALSE),0))</f>
        <v/>
      </c>
      <c r="H261" s="7">
        <f>IF(F261="","",F261*G261)</f>
        <v/>
      </c>
      <c r="I261" s="8">
        <f>IF(F261="","",IF(F261&gt;=50,5%,IF(F261&gt;=20,2%,0)))</f>
        <v/>
      </c>
      <c r="J261" s="7">
        <f>IF(H261="","",ROUND(H261*I261,0))</f>
        <v/>
      </c>
      <c r="K261" s="7">
        <f>IF(H261="","",ROUND((H261-J261)*'Danh mục'!$F$3/100,0))</f>
        <v/>
      </c>
      <c r="L261" s="7">
        <f>IF(H261="","",H261-J261+K261)</f>
        <v/>
      </c>
      <c r="M261">
        <f>IF(A261="","",MONTH(A261))</f>
        <v/>
      </c>
    </row>
    <row r="262" spans="1:13">
      <c r="A262" s="6"/>
      <c r="B262" s="4"/>
      <c r="C262" s="4"/>
      <c r="D262" s="4"/>
      <c r="E262">
        <f>IF(D262="","",IFERROR(VLOOKUP(D262,'Danh mục'!$A$4:$C$13,2,FALSE),"Không rõ mã"))</f>
        <v/>
      </c>
      <c r="F262" s="3"/>
      <c r="G262" s="7">
        <f>IF(D262="","",IFERROR(VLOOKUP(D262,'Danh mục'!$A$4:$C$13,3,FALSE),0))</f>
        <v/>
      </c>
      <c r="H262" s="7">
        <f>IF(F262="","",F262*G262)</f>
        <v/>
      </c>
      <c r="I262" s="8">
        <f>IF(F262="","",IF(F262&gt;=50,5%,IF(F262&gt;=20,2%,0)))</f>
        <v/>
      </c>
      <c r="J262" s="7">
        <f>IF(H262="","",ROUND(H262*I262,0))</f>
        <v/>
      </c>
      <c r="K262" s="7">
        <f>IF(H262="","",ROUND((H262-J262)*'Danh mục'!$F$3/100,0))</f>
        <v/>
      </c>
      <c r="L262" s="7">
        <f>IF(H262="","",H262-J262+K262)</f>
        <v/>
      </c>
      <c r="M262">
        <f>IF(A262="","",MONTH(A262))</f>
        <v/>
      </c>
    </row>
    <row r="263" spans="1:13">
      <c r="A263" s="6"/>
      <c r="B263" s="4"/>
      <c r="C263" s="4"/>
      <c r="D263" s="4"/>
      <c r="E263">
        <f>IF(D263="","",IFERROR(VLOOKUP(D263,'Danh mục'!$A$4:$C$13,2,FALSE),"Không rõ mã"))</f>
        <v/>
      </c>
      <c r="F263" s="3"/>
      <c r="G263" s="7">
        <f>IF(D263="","",IFERROR(VLOOKUP(D263,'Danh mục'!$A$4:$C$13,3,FALSE),0))</f>
        <v/>
      </c>
      <c r="H263" s="7">
        <f>IF(F263="","",F263*G263)</f>
        <v/>
      </c>
      <c r="I263" s="8">
        <f>IF(F263="","",IF(F263&gt;=50,5%,IF(F263&gt;=20,2%,0)))</f>
        <v/>
      </c>
      <c r="J263" s="7">
        <f>IF(H263="","",ROUND(H263*I263,0))</f>
        <v/>
      </c>
      <c r="K263" s="7">
        <f>IF(H263="","",ROUND((H263-J263)*'Danh mục'!$F$3/100,0))</f>
        <v/>
      </c>
      <c r="L263" s="7">
        <f>IF(H263="","",H263-J263+K263)</f>
        <v/>
      </c>
      <c r="M263">
        <f>IF(A263="","",MONTH(A263))</f>
        <v/>
      </c>
    </row>
    <row r="264" spans="1:13">
      <c r="A264" s="6"/>
      <c r="B264" s="4"/>
      <c r="C264" s="4"/>
      <c r="D264" s="4"/>
      <c r="E264">
        <f>IF(D264="","",IFERROR(VLOOKUP(D264,'Danh mục'!$A$4:$C$13,2,FALSE),"Không rõ mã"))</f>
        <v/>
      </c>
      <c r="F264" s="3"/>
      <c r="G264" s="7">
        <f>IF(D264="","",IFERROR(VLOOKUP(D264,'Danh mục'!$A$4:$C$13,3,FALSE),0))</f>
        <v/>
      </c>
      <c r="H264" s="7">
        <f>IF(F264="","",F264*G264)</f>
        <v/>
      </c>
      <c r="I264" s="8">
        <f>IF(F264="","",IF(F264&gt;=50,5%,IF(F264&gt;=20,2%,0)))</f>
        <v/>
      </c>
      <c r="J264" s="7">
        <f>IF(H264="","",ROUND(H264*I264,0))</f>
        <v/>
      </c>
      <c r="K264" s="7">
        <f>IF(H264="","",ROUND((H264-J264)*'Danh mục'!$F$3/100,0))</f>
        <v/>
      </c>
      <c r="L264" s="7">
        <f>IF(H264="","",H264-J264+K264)</f>
        <v/>
      </c>
      <c r="M264">
        <f>IF(A264="","",MONTH(A264))</f>
        <v/>
      </c>
    </row>
    <row r="265" spans="1:13">
      <c r="A265" s="6"/>
      <c r="B265" s="4"/>
      <c r="C265" s="4"/>
      <c r="D265" s="4"/>
      <c r="E265">
        <f>IF(D265="","",IFERROR(VLOOKUP(D265,'Danh mục'!$A$4:$C$13,2,FALSE),"Không rõ mã"))</f>
        <v/>
      </c>
      <c r="F265" s="3"/>
      <c r="G265" s="7">
        <f>IF(D265="","",IFERROR(VLOOKUP(D265,'Danh mục'!$A$4:$C$13,3,FALSE),0))</f>
        <v/>
      </c>
      <c r="H265" s="7">
        <f>IF(F265="","",F265*G265)</f>
        <v/>
      </c>
      <c r="I265" s="8">
        <f>IF(F265="","",IF(F265&gt;=50,5%,IF(F265&gt;=20,2%,0)))</f>
        <v/>
      </c>
      <c r="J265" s="7">
        <f>IF(H265="","",ROUND(H265*I265,0))</f>
        <v/>
      </c>
      <c r="K265" s="7">
        <f>IF(H265="","",ROUND((H265-J265)*'Danh mục'!$F$3/100,0))</f>
        <v/>
      </c>
      <c r="L265" s="7">
        <f>IF(H265="","",H265-J265+K265)</f>
        <v/>
      </c>
      <c r="M265">
        <f>IF(A265="","",MONTH(A265))</f>
        <v/>
      </c>
    </row>
    <row r="266" spans="1:13">
      <c r="A266" s="6"/>
      <c r="B266" s="4"/>
      <c r="C266" s="4"/>
      <c r="D266" s="4"/>
      <c r="E266">
        <f>IF(D266="","",IFERROR(VLOOKUP(D266,'Danh mục'!$A$4:$C$13,2,FALSE),"Không rõ mã"))</f>
        <v/>
      </c>
      <c r="F266" s="3"/>
      <c r="G266" s="7">
        <f>IF(D266="","",IFERROR(VLOOKUP(D266,'Danh mục'!$A$4:$C$13,3,FALSE),0))</f>
        <v/>
      </c>
      <c r="H266" s="7">
        <f>IF(F266="","",F266*G266)</f>
        <v/>
      </c>
      <c r="I266" s="8">
        <f>IF(F266="","",IF(F266&gt;=50,5%,IF(F266&gt;=20,2%,0)))</f>
        <v/>
      </c>
      <c r="J266" s="7">
        <f>IF(H266="","",ROUND(H266*I266,0))</f>
        <v/>
      </c>
      <c r="K266" s="7">
        <f>IF(H266="","",ROUND((H266-J266)*'Danh mục'!$F$3/100,0))</f>
        <v/>
      </c>
      <c r="L266" s="7">
        <f>IF(H266="","",H266-J266+K266)</f>
        <v/>
      </c>
      <c r="M266">
        <f>IF(A266="","",MONTH(A266))</f>
        <v/>
      </c>
    </row>
    <row r="267" spans="1:13">
      <c r="A267" s="6"/>
      <c r="B267" s="4"/>
      <c r="C267" s="4"/>
      <c r="D267" s="4"/>
      <c r="E267">
        <f>IF(D267="","",IFERROR(VLOOKUP(D267,'Danh mục'!$A$4:$C$13,2,FALSE),"Không rõ mã"))</f>
        <v/>
      </c>
      <c r="F267" s="3"/>
      <c r="G267" s="7">
        <f>IF(D267="","",IFERROR(VLOOKUP(D267,'Danh mục'!$A$4:$C$13,3,FALSE),0))</f>
        <v/>
      </c>
      <c r="H267" s="7">
        <f>IF(F267="","",F267*G267)</f>
        <v/>
      </c>
      <c r="I267" s="8">
        <f>IF(F267="","",IF(F267&gt;=50,5%,IF(F267&gt;=20,2%,0)))</f>
        <v/>
      </c>
      <c r="J267" s="7">
        <f>IF(H267="","",ROUND(H267*I267,0))</f>
        <v/>
      </c>
      <c r="K267" s="7">
        <f>IF(H267="","",ROUND((H267-J267)*'Danh mục'!$F$3/100,0))</f>
        <v/>
      </c>
      <c r="L267" s="7">
        <f>IF(H267="","",H267-J267+K267)</f>
        <v/>
      </c>
      <c r="M267">
        <f>IF(A267="","",MONTH(A267))</f>
        <v/>
      </c>
    </row>
    <row r="268" spans="1:13">
      <c r="A268" s="6"/>
      <c r="B268" s="4"/>
      <c r="C268" s="4"/>
      <c r="D268" s="4"/>
      <c r="E268">
        <f>IF(D268="","",IFERROR(VLOOKUP(D268,'Danh mục'!$A$4:$C$13,2,FALSE),"Không rõ mã"))</f>
        <v/>
      </c>
      <c r="F268" s="3"/>
      <c r="G268" s="7">
        <f>IF(D268="","",IFERROR(VLOOKUP(D268,'Danh mục'!$A$4:$C$13,3,FALSE),0))</f>
        <v/>
      </c>
      <c r="H268" s="7">
        <f>IF(F268="","",F268*G268)</f>
        <v/>
      </c>
      <c r="I268" s="8">
        <f>IF(F268="","",IF(F268&gt;=50,5%,IF(F268&gt;=20,2%,0)))</f>
        <v/>
      </c>
      <c r="J268" s="7">
        <f>IF(H268="","",ROUND(H268*I268,0))</f>
        <v/>
      </c>
      <c r="K268" s="7">
        <f>IF(H268="","",ROUND((H268-J268)*'Danh mục'!$F$3/100,0))</f>
        <v/>
      </c>
      <c r="L268" s="7">
        <f>IF(H268="","",H268-J268+K268)</f>
        <v/>
      </c>
      <c r="M268">
        <f>IF(A268="","",MONTH(A268))</f>
        <v/>
      </c>
    </row>
    <row r="269" spans="1:13">
      <c r="A269" s="6"/>
      <c r="B269" s="4"/>
      <c r="C269" s="4"/>
      <c r="D269" s="4"/>
      <c r="E269">
        <f>IF(D269="","",IFERROR(VLOOKUP(D269,'Danh mục'!$A$4:$C$13,2,FALSE),"Không rõ mã"))</f>
        <v/>
      </c>
      <c r="F269" s="3"/>
      <c r="G269" s="7">
        <f>IF(D269="","",IFERROR(VLOOKUP(D269,'Danh mục'!$A$4:$C$13,3,FALSE),0))</f>
        <v/>
      </c>
      <c r="H269" s="7">
        <f>IF(F269="","",F269*G269)</f>
        <v/>
      </c>
      <c r="I269" s="8">
        <f>IF(F269="","",IF(F269&gt;=50,5%,IF(F269&gt;=20,2%,0)))</f>
        <v/>
      </c>
      <c r="J269" s="7">
        <f>IF(H269="","",ROUND(H269*I269,0))</f>
        <v/>
      </c>
      <c r="K269" s="7">
        <f>IF(H269="","",ROUND((H269-J269)*'Danh mục'!$F$3/100,0))</f>
        <v/>
      </c>
      <c r="L269" s="7">
        <f>IF(H269="","",H269-J269+K269)</f>
        <v/>
      </c>
      <c r="M269">
        <f>IF(A269="","",MONTH(A269))</f>
        <v/>
      </c>
    </row>
    <row r="270" spans="1:13">
      <c r="A270" s="6"/>
      <c r="B270" s="4"/>
      <c r="C270" s="4"/>
      <c r="D270" s="4"/>
      <c r="E270">
        <f>IF(D270="","",IFERROR(VLOOKUP(D270,'Danh mục'!$A$4:$C$13,2,FALSE),"Không rõ mã"))</f>
        <v/>
      </c>
      <c r="F270" s="3"/>
      <c r="G270" s="7">
        <f>IF(D270="","",IFERROR(VLOOKUP(D270,'Danh mục'!$A$4:$C$13,3,FALSE),0))</f>
        <v/>
      </c>
      <c r="H270" s="7">
        <f>IF(F270="","",F270*G270)</f>
        <v/>
      </c>
      <c r="I270" s="8">
        <f>IF(F270="","",IF(F270&gt;=50,5%,IF(F270&gt;=20,2%,0)))</f>
        <v/>
      </c>
      <c r="J270" s="7">
        <f>IF(H270="","",ROUND(H270*I270,0))</f>
        <v/>
      </c>
      <c r="K270" s="7">
        <f>IF(H270="","",ROUND((H270-J270)*'Danh mục'!$F$3/100,0))</f>
        <v/>
      </c>
      <c r="L270" s="7">
        <f>IF(H270="","",H270-J270+K270)</f>
        <v/>
      </c>
      <c r="M270">
        <f>IF(A270="","",MONTH(A270))</f>
        <v/>
      </c>
    </row>
    <row r="271" spans="1:13">
      <c r="A271" s="6"/>
      <c r="B271" s="4"/>
      <c r="C271" s="4"/>
      <c r="D271" s="4"/>
      <c r="E271">
        <f>IF(D271="","",IFERROR(VLOOKUP(D271,'Danh mục'!$A$4:$C$13,2,FALSE),"Không rõ mã"))</f>
        <v/>
      </c>
      <c r="F271" s="3"/>
      <c r="G271" s="7">
        <f>IF(D271="","",IFERROR(VLOOKUP(D271,'Danh mục'!$A$4:$C$13,3,FALSE),0))</f>
        <v/>
      </c>
      <c r="H271" s="7">
        <f>IF(F271="","",F271*G271)</f>
        <v/>
      </c>
      <c r="I271" s="8">
        <f>IF(F271="","",IF(F271&gt;=50,5%,IF(F271&gt;=20,2%,0)))</f>
        <v/>
      </c>
      <c r="J271" s="7">
        <f>IF(H271="","",ROUND(H271*I271,0))</f>
        <v/>
      </c>
      <c r="K271" s="7">
        <f>IF(H271="","",ROUND((H271-J271)*'Danh mục'!$F$3/100,0))</f>
        <v/>
      </c>
      <c r="L271" s="7">
        <f>IF(H271="","",H271-J271+K271)</f>
        <v/>
      </c>
      <c r="M271">
        <f>IF(A271="","",MONTH(A271))</f>
        <v/>
      </c>
    </row>
    <row r="272" spans="1:13">
      <c r="A272" s="6"/>
      <c r="B272" s="4"/>
      <c r="C272" s="4"/>
      <c r="D272" s="4"/>
      <c r="E272">
        <f>IF(D272="","",IFERROR(VLOOKUP(D272,'Danh mục'!$A$4:$C$13,2,FALSE),"Không rõ mã"))</f>
        <v/>
      </c>
      <c r="F272" s="3"/>
      <c r="G272" s="7">
        <f>IF(D272="","",IFERROR(VLOOKUP(D272,'Danh mục'!$A$4:$C$13,3,FALSE),0))</f>
        <v/>
      </c>
      <c r="H272" s="7">
        <f>IF(F272="","",F272*G272)</f>
        <v/>
      </c>
      <c r="I272" s="8">
        <f>IF(F272="","",IF(F272&gt;=50,5%,IF(F272&gt;=20,2%,0)))</f>
        <v/>
      </c>
      <c r="J272" s="7">
        <f>IF(H272="","",ROUND(H272*I272,0))</f>
        <v/>
      </c>
      <c r="K272" s="7">
        <f>IF(H272="","",ROUND((H272-J272)*'Danh mục'!$F$3/100,0))</f>
        <v/>
      </c>
      <c r="L272" s="7">
        <f>IF(H272="","",H272-J272+K272)</f>
        <v/>
      </c>
      <c r="M272">
        <f>IF(A272="","",MONTH(A272))</f>
        <v/>
      </c>
    </row>
    <row r="273" spans="1:13">
      <c r="A273" s="6"/>
      <c r="B273" s="4"/>
      <c r="C273" s="4"/>
      <c r="D273" s="4"/>
      <c r="E273">
        <f>IF(D273="","",IFERROR(VLOOKUP(D273,'Danh mục'!$A$4:$C$13,2,FALSE),"Không rõ mã"))</f>
        <v/>
      </c>
      <c r="F273" s="3"/>
      <c r="G273" s="7">
        <f>IF(D273="","",IFERROR(VLOOKUP(D273,'Danh mục'!$A$4:$C$13,3,FALSE),0))</f>
        <v/>
      </c>
      <c r="H273" s="7">
        <f>IF(F273="","",F273*G273)</f>
        <v/>
      </c>
      <c r="I273" s="8">
        <f>IF(F273="","",IF(F273&gt;=50,5%,IF(F273&gt;=20,2%,0)))</f>
        <v/>
      </c>
      <c r="J273" s="7">
        <f>IF(H273="","",ROUND(H273*I273,0))</f>
        <v/>
      </c>
      <c r="K273" s="7">
        <f>IF(H273="","",ROUND((H273-J273)*'Danh mục'!$F$3/100,0))</f>
        <v/>
      </c>
      <c r="L273" s="7">
        <f>IF(H273="","",H273-J273+K273)</f>
        <v/>
      </c>
      <c r="M273">
        <f>IF(A273="","",MONTH(A273))</f>
        <v/>
      </c>
    </row>
    <row r="274" spans="1:13">
      <c r="A274" s="6"/>
      <c r="B274" s="4"/>
      <c r="C274" s="4"/>
      <c r="D274" s="4"/>
      <c r="E274">
        <f>IF(D274="","",IFERROR(VLOOKUP(D274,'Danh mục'!$A$4:$C$13,2,FALSE),"Không rõ mã"))</f>
        <v/>
      </c>
      <c r="F274" s="3"/>
      <c r="G274" s="7">
        <f>IF(D274="","",IFERROR(VLOOKUP(D274,'Danh mục'!$A$4:$C$13,3,FALSE),0))</f>
        <v/>
      </c>
      <c r="H274" s="7">
        <f>IF(F274="","",F274*G274)</f>
        <v/>
      </c>
      <c r="I274" s="8">
        <f>IF(F274="","",IF(F274&gt;=50,5%,IF(F274&gt;=20,2%,0)))</f>
        <v/>
      </c>
      <c r="J274" s="7">
        <f>IF(H274="","",ROUND(H274*I274,0))</f>
        <v/>
      </c>
      <c r="K274" s="7">
        <f>IF(H274="","",ROUND((H274-J274)*'Danh mục'!$F$3/100,0))</f>
        <v/>
      </c>
      <c r="L274" s="7">
        <f>IF(H274="","",H274-J274+K274)</f>
        <v/>
      </c>
      <c r="M274">
        <f>IF(A274="","",MONTH(A274))</f>
        <v/>
      </c>
    </row>
    <row r="275" spans="1:13">
      <c r="A275" s="6"/>
      <c r="B275" s="4"/>
      <c r="C275" s="4"/>
      <c r="D275" s="4"/>
      <c r="E275">
        <f>IF(D275="","",IFERROR(VLOOKUP(D275,'Danh mục'!$A$4:$C$13,2,FALSE),"Không rõ mã"))</f>
        <v/>
      </c>
      <c r="F275" s="3"/>
      <c r="G275" s="7">
        <f>IF(D275="","",IFERROR(VLOOKUP(D275,'Danh mục'!$A$4:$C$13,3,FALSE),0))</f>
        <v/>
      </c>
      <c r="H275" s="7">
        <f>IF(F275="","",F275*G275)</f>
        <v/>
      </c>
      <c r="I275" s="8">
        <f>IF(F275="","",IF(F275&gt;=50,5%,IF(F275&gt;=20,2%,0)))</f>
        <v/>
      </c>
      <c r="J275" s="7">
        <f>IF(H275="","",ROUND(H275*I275,0))</f>
        <v/>
      </c>
      <c r="K275" s="7">
        <f>IF(H275="","",ROUND((H275-J275)*'Danh mục'!$F$3/100,0))</f>
        <v/>
      </c>
      <c r="L275" s="7">
        <f>IF(H275="","",H275-J275+K275)</f>
        <v/>
      </c>
      <c r="M275">
        <f>IF(A275="","",MONTH(A275))</f>
        <v/>
      </c>
    </row>
    <row r="276" spans="1:13">
      <c r="A276" s="6"/>
      <c r="B276" s="4"/>
      <c r="C276" s="4"/>
      <c r="D276" s="4"/>
      <c r="E276">
        <f>IF(D276="","",IFERROR(VLOOKUP(D276,'Danh mục'!$A$4:$C$13,2,FALSE),"Không rõ mã"))</f>
        <v/>
      </c>
      <c r="F276" s="3"/>
      <c r="G276" s="7">
        <f>IF(D276="","",IFERROR(VLOOKUP(D276,'Danh mục'!$A$4:$C$13,3,FALSE),0))</f>
        <v/>
      </c>
      <c r="H276" s="7">
        <f>IF(F276="","",F276*G276)</f>
        <v/>
      </c>
      <c r="I276" s="8">
        <f>IF(F276="","",IF(F276&gt;=50,5%,IF(F276&gt;=20,2%,0)))</f>
        <v/>
      </c>
      <c r="J276" s="7">
        <f>IF(H276="","",ROUND(H276*I276,0))</f>
        <v/>
      </c>
      <c r="K276" s="7">
        <f>IF(H276="","",ROUND((H276-J276)*'Danh mục'!$F$3/100,0))</f>
        <v/>
      </c>
      <c r="L276" s="7">
        <f>IF(H276="","",H276-J276+K276)</f>
        <v/>
      </c>
      <c r="M276">
        <f>IF(A276="","",MONTH(A276))</f>
        <v/>
      </c>
    </row>
    <row r="277" spans="1:13">
      <c r="A277" s="6"/>
      <c r="B277" s="4"/>
      <c r="C277" s="4"/>
      <c r="D277" s="4"/>
      <c r="E277">
        <f>IF(D277="","",IFERROR(VLOOKUP(D277,'Danh mục'!$A$4:$C$13,2,FALSE),"Không rõ mã"))</f>
        <v/>
      </c>
      <c r="F277" s="3"/>
      <c r="G277" s="7">
        <f>IF(D277="","",IFERROR(VLOOKUP(D277,'Danh mục'!$A$4:$C$13,3,FALSE),0))</f>
        <v/>
      </c>
      <c r="H277" s="7">
        <f>IF(F277="","",F277*G277)</f>
        <v/>
      </c>
      <c r="I277" s="8">
        <f>IF(F277="","",IF(F277&gt;=50,5%,IF(F277&gt;=20,2%,0)))</f>
        <v/>
      </c>
      <c r="J277" s="7">
        <f>IF(H277="","",ROUND(H277*I277,0))</f>
        <v/>
      </c>
      <c r="K277" s="7">
        <f>IF(H277="","",ROUND((H277-J277)*'Danh mục'!$F$3/100,0))</f>
        <v/>
      </c>
      <c r="L277" s="7">
        <f>IF(H277="","",H277-J277+K277)</f>
        <v/>
      </c>
      <c r="M277">
        <f>IF(A277="","",MONTH(A277))</f>
        <v/>
      </c>
    </row>
    <row r="278" spans="1:13">
      <c r="A278" s="6"/>
      <c r="B278" s="4"/>
      <c r="C278" s="4"/>
      <c r="D278" s="4"/>
      <c r="E278">
        <f>IF(D278="","",IFERROR(VLOOKUP(D278,'Danh mục'!$A$4:$C$13,2,FALSE),"Không rõ mã"))</f>
        <v/>
      </c>
      <c r="F278" s="3"/>
      <c r="G278" s="7">
        <f>IF(D278="","",IFERROR(VLOOKUP(D278,'Danh mục'!$A$4:$C$13,3,FALSE),0))</f>
        <v/>
      </c>
      <c r="H278" s="7">
        <f>IF(F278="","",F278*G278)</f>
        <v/>
      </c>
      <c r="I278" s="8">
        <f>IF(F278="","",IF(F278&gt;=50,5%,IF(F278&gt;=20,2%,0)))</f>
        <v/>
      </c>
      <c r="J278" s="7">
        <f>IF(H278="","",ROUND(H278*I278,0))</f>
        <v/>
      </c>
      <c r="K278" s="7">
        <f>IF(H278="","",ROUND((H278-J278)*'Danh mục'!$F$3/100,0))</f>
        <v/>
      </c>
      <c r="L278" s="7">
        <f>IF(H278="","",H278-J278+K278)</f>
        <v/>
      </c>
      <c r="M278">
        <f>IF(A278="","",MONTH(A278))</f>
        <v/>
      </c>
    </row>
    <row r="279" spans="1:13">
      <c r="A279" s="6"/>
      <c r="B279" s="4"/>
      <c r="C279" s="4"/>
      <c r="D279" s="4"/>
      <c r="E279">
        <f>IF(D279="","",IFERROR(VLOOKUP(D279,'Danh mục'!$A$4:$C$13,2,FALSE),"Không rõ mã"))</f>
        <v/>
      </c>
      <c r="F279" s="3"/>
      <c r="G279" s="7">
        <f>IF(D279="","",IFERROR(VLOOKUP(D279,'Danh mục'!$A$4:$C$13,3,FALSE),0))</f>
        <v/>
      </c>
      <c r="H279" s="7">
        <f>IF(F279="","",F279*G279)</f>
        <v/>
      </c>
      <c r="I279" s="8">
        <f>IF(F279="","",IF(F279&gt;=50,5%,IF(F279&gt;=20,2%,0)))</f>
        <v/>
      </c>
      <c r="J279" s="7">
        <f>IF(H279="","",ROUND(H279*I279,0))</f>
        <v/>
      </c>
      <c r="K279" s="7">
        <f>IF(H279="","",ROUND((H279-J279)*'Danh mục'!$F$3/100,0))</f>
        <v/>
      </c>
      <c r="L279" s="7">
        <f>IF(H279="","",H279-J279+K279)</f>
        <v/>
      </c>
      <c r="M279">
        <f>IF(A279="","",MONTH(A279))</f>
        <v/>
      </c>
    </row>
    <row r="280" spans="1:13">
      <c r="A280" s="6"/>
      <c r="B280" s="4"/>
      <c r="C280" s="4"/>
      <c r="D280" s="4"/>
      <c r="E280">
        <f>IF(D280="","",IFERROR(VLOOKUP(D280,'Danh mục'!$A$4:$C$13,2,FALSE),"Không rõ mã"))</f>
        <v/>
      </c>
      <c r="F280" s="3"/>
      <c r="G280" s="7">
        <f>IF(D280="","",IFERROR(VLOOKUP(D280,'Danh mục'!$A$4:$C$13,3,FALSE),0))</f>
        <v/>
      </c>
      <c r="H280" s="7">
        <f>IF(F280="","",F280*G280)</f>
        <v/>
      </c>
      <c r="I280" s="8">
        <f>IF(F280="","",IF(F280&gt;=50,5%,IF(F280&gt;=20,2%,0)))</f>
        <v/>
      </c>
      <c r="J280" s="7">
        <f>IF(H280="","",ROUND(H280*I280,0))</f>
        <v/>
      </c>
      <c r="K280" s="7">
        <f>IF(H280="","",ROUND((H280-J280)*'Danh mục'!$F$3/100,0))</f>
        <v/>
      </c>
      <c r="L280" s="7">
        <f>IF(H280="","",H280-J280+K280)</f>
        <v/>
      </c>
      <c r="M280">
        <f>IF(A280="","",MONTH(A280))</f>
        <v/>
      </c>
    </row>
    <row r="281" spans="1:13">
      <c r="A281" s="6"/>
      <c r="B281" s="4"/>
      <c r="C281" s="4"/>
      <c r="D281" s="4"/>
      <c r="E281">
        <f>IF(D281="","",IFERROR(VLOOKUP(D281,'Danh mục'!$A$4:$C$13,2,FALSE),"Không rõ mã"))</f>
        <v/>
      </c>
      <c r="F281" s="3"/>
      <c r="G281" s="7">
        <f>IF(D281="","",IFERROR(VLOOKUP(D281,'Danh mục'!$A$4:$C$13,3,FALSE),0))</f>
        <v/>
      </c>
      <c r="H281" s="7">
        <f>IF(F281="","",F281*G281)</f>
        <v/>
      </c>
      <c r="I281" s="8">
        <f>IF(F281="","",IF(F281&gt;=50,5%,IF(F281&gt;=20,2%,0)))</f>
        <v/>
      </c>
      <c r="J281" s="7">
        <f>IF(H281="","",ROUND(H281*I281,0))</f>
        <v/>
      </c>
      <c r="K281" s="7">
        <f>IF(H281="","",ROUND((H281-J281)*'Danh mục'!$F$3/100,0))</f>
        <v/>
      </c>
      <c r="L281" s="7">
        <f>IF(H281="","",H281-J281+K281)</f>
        <v/>
      </c>
      <c r="M281">
        <f>IF(A281="","",MONTH(A281))</f>
        <v/>
      </c>
    </row>
    <row r="282" spans="1:13">
      <c r="A282" s="6"/>
      <c r="B282" s="4"/>
      <c r="C282" s="4"/>
      <c r="D282" s="4"/>
      <c r="E282">
        <f>IF(D282="","",IFERROR(VLOOKUP(D282,'Danh mục'!$A$4:$C$13,2,FALSE),"Không rõ mã"))</f>
        <v/>
      </c>
      <c r="F282" s="3"/>
      <c r="G282" s="7">
        <f>IF(D282="","",IFERROR(VLOOKUP(D282,'Danh mục'!$A$4:$C$13,3,FALSE),0))</f>
        <v/>
      </c>
      <c r="H282" s="7">
        <f>IF(F282="","",F282*G282)</f>
        <v/>
      </c>
      <c r="I282" s="8">
        <f>IF(F282="","",IF(F282&gt;=50,5%,IF(F282&gt;=20,2%,0)))</f>
        <v/>
      </c>
      <c r="J282" s="7">
        <f>IF(H282="","",ROUND(H282*I282,0))</f>
        <v/>
      </c>
      <c r="K282" s="7">
        <f>IF(H282="","",ROUND((H282-J282)*'Danh mục'!$F$3/100,0))</f>
        <v/>
      </c>
      <c r="L282" s="7">
        <f>IF(H282="","",H282-J282+K282)</f>
        <v/>
      </c>
      <c r="M282">
        <f>IF(A282="","",MONTH(A282))</f>
        <v/>
      </c>
    </row>
    <row r="283" spans="1:13">
      <c r="A283" s="6"/>
      <c r="B283" s="4"/>
      <c r="C283" s="4"/>
      <c r="D283" s="4"/>
      <c r="E283">
        <f>IF(D283="","",IFERROR(VLOOKUP(D283,'Danh mục'!$A$4:$C$13,2,FALSE),"Không rõ mã"))</f>
        <v/>
      </c>
      <c r="F283" s="3"/>
      <c r="G283" s="7">
        <f>IF(D283="","",IFERROR(VLOOKUP(D283,'Danh mục'!$A$4:$C$13,3,FALSE),0))</f>
        <v/>
      </c>
      <c r="H283" s="7">
        <f>IF(F283="","",F283*G283)</f>
        <v/>
      </c>
      <c r="I283" s="8">
        <f>IF(F283="","",IF(F283&gt;=50,5%,IF(F283&gt;=20,2%,0)))</f>
        <v/>
      </c>
      <c r="J283" s="7">
        <f>IF(H283="","",ROUND(H283*I283,0))</f>
        <v/>
      </c>
      <c r="K283" s="7">
        <f>IF(H283="","",ROUND((H283-J283)*'Danh mục'!$F$3/100,0))</f>
        <v/>
      </c>
      <c r="L283" s="7">
        <f>IF(H283="","",H283-J283+K283)</f>
        <v/>
      </c>
      <c r="M283">
        <f>IF(A283="","",MONTH(A283))</f>
        <v/>
      </c>
    </row>
    <row r="284" spans="1:13">
      <c r="A284" s="6"/>
      <c r="B284" s="4"/>
      <c r="C284" s="4"/>
      <c r="D284" s="4"/>
      <c r="E284">
        <f>IF(D284="","",IFERROR(VLOOKUP(D284,'Danh mục'!$A$4:$C$13,2,FALSE),"Không rõ mã"))</f>
        <v/>
      </c>
      <c r="F284" s="3"/>
      <c r="G284" s="7">
        <f>IF(D284="","",IFERROR(VLOOKUP(D284,'Danh mục'!$A$4:$C$13,3,FALSE),0))</f>
        <v/>
      </c>
      <c r="H284" s="7">
        <f>IF(F284="","",F284*G284)</f>
        <v/>
      </c>
      <c r="I284" s="8">
        <f>IF(F284="","",IF(F284&gt;=50,5%,IF(F284&gt;=20,2%,0)))</f>
        <v/>
      </c>
      <c r="J284" s="7">
        <f>IF(H284="","",ROUND(H284*I284,0))</f>
        <v/>
      </c>
      <c r="K284" s="7">
        <f>IF(H284="","",ROUND((H284-J284)*'Danh mục'!$F$3/100,0))</f>
        <v/>
      </c>
      <c r="L284" s="7">
        <f>IF(H284="","",H284-J284+K284)</f>
        <v/>
      </c>
      <c r="M284">
        <f>IF(A284="","",MONTH(A284))</f>
        <v/>
      </c>
    </row>
    <row r="285" spans="1:13">
      <c r="A285" s="6"/>
      <c r="B285" s="4"/>
      <c r="C285" s="4"/>
      <c r="D285" s="4"/>
      <c r="E285">
        <f>IF(D285="","",IFERROR(VLOOKUP(D285,'Danh mục'!$A$4:$C$13,2,FALSE),"Không rõ mã"))</f>
        <v/>
      </c>
      <c r="F285" s="3"/>
      <c r="G285" s="7">
        <f>IF(D285="","",IFERROR(VLOOKUP(D285,'Danh mục'!$A$4:$C$13,3,FALSE),0))</f>
        <v/>
      </c>
      <c r="H285" s="7">
        <f>IF(F285="","",F285*G285)</f>
        <v/>
      </c>
      <c r="I285" s="8">
        <f>IF(F285="","",IF(F285&gt;=50,5%,IF(F285&gt;=20,2%,0)))</f>
        <v/>
      </c>
      <c r="J285" s="7">
        <f>IF(H285="","",ROUND(H285*I285,0))</f>
        <v/>
      </c>
      <c r="K285" s="7">
        <f>IF(H285="","",ROUND((H285-J285)*'Danh mục'!$F$3/100,0))</f>
        <v/>
      </c>
      <c r="L285" s="7">
        <f>IF(H285="","",H285-J285+K285)</f>
        <v/>
      </c>
      <c r="M285">
        <f>IF(A285="","",MONTH(A285))</f>
        <v/>
      </c>
    </row>
    <row r="286" spans="1:13">
      <c r="A286" s="6"/>
      <c r="B286" s="4"/>
      <c r="C286" s="4"/>
      <c r="D286" s="4"/>
      <c r="E286">
        <f>IF(D286="","",IFERROR(VLOOKUP(D286,'Danh mục'!$A$4:$C$13,2,FALSE),"Không rõ mã"))</f>
        <v/>
      </c>
      <c r="F286" s="3"/>
      <c r="G286" s="7">
        <f>IF(D286="","",IFERROR(VLOOKUP(D286,'Danh mục'!$A$4:$C$13,3,FALSE),0))</f>
        <v/>
      </c>
      <c r="H286" s="7">
        <f>IF(F286="","",F286*G286)</f>
        <v/>
      </c>
      <c r="I286" s="8">
        <f>IF(F286="","",IF(F286&gt;=50,5%,IF(F286&gt;=20,2%,0)))</f>
        <v/>
      </c>
      <c r="J286" s="7">
        <f>IF(H286="","",ROUND(H286*I286,0))</f>
        <v/>
      </c>
      <c r="K286" s="7">
        <f>IF(H286="","",ROUND((H286-J286)*'Danh mục'!$F$3/100,0))</f>
        <v/>
      </c>
      <c r="L286" s="7">
        <f>IF(H286="","",H286-J286+K286)</f>
        <v/>
      </c>
      <c r="M286">
        <f>IF(A286="","",MONTH(A286))</f>
        <v/>
      </c>
    </row>
    <row r="287" spans="1:13">
      <c r="A287" s="6"/>
      <c r="B287" s="4"/>
      <c r="C287" s="4"/>
      <c r="D287" s="4"/>
      <c r="E287">
        <f>IF(D287="","",IFERROR(VLOOKUP(D287,'Danh mục'!$A$4:$C$13,2,FALSE),"Không rõ mã"))</f>
        <v/>
      </c>
      <c r="F287" s="3"/>
      <c r="G287" s="7">
        <f>IF(D287="","",IFERROR(VLOOKUP(D287,'Danh mục'!$A$4:$C$13,3,FALSE),0))</f>
        <v/>
      </c>
      <c r="H287" s="7">
        <f>IF(F287="","",F287*G287)</f>
        <v/>
      </c>
      <c r="I287" s="8">
        <f>IF(F287="","",IF(F287&gt;=50,5%,IF(F287&gt;=20,2%,0)))</f>
        <v/>
      </c>
      <c r="J287" s="7">
        <f>IF(H287="","",ROUND(H287*I287,0))</f>
        <v/>
      </c>
      <c r="K287" s="7">
        <f>IF(H287="","",ROUND((H287-J287)*'Danh mục'!$F$3/100,0))</f>
        <v/>
      </c>
      <c r="L287" s="7">
        <f>IF(H287="","",H287-J287+K287)</f>
        <v/>
      </c>
      <c r="M287">
        <f>IF(A287="","",MONTH(A287))</f>
        <v/>
      </c>
    </row>
    <row r="288" spans="1:13">
      <c r="A288" s="6"/>
      <c r="B288" s="4"/>
      <c r="C288" s="4"/>
      <c r="D288" s="4"/>
      <c r="E288">
        <f>IF(D288="","",IFERROR(VLOOKUP(D288,'Danh mục'!$A$4:$C$13,2,FALSE),"Không rõ mã"))</f>
        <v/>
      </c>
      <c r="F288" s="3"/>
      <c r="G288" s="7">
        <f>IF(D288="","",IFERROR(VLOOKUP(D288,'Danh mục'!$A$4:$C$13,3,FALSE),0))</f>
        <v/>
      </c>
      <c r="H288" s="7">
        <f>IF(F288="","",F288*G288)</f>
        <v/>
      </c>
      <c r="I288" s="8">
        <f>IF(F288="","",IF(F288&gt;=50,5%,IF(F288&gt;=20,2%,0)))</f>
        <v/>
      </c>
      <c r="J288" s="7">
        <f>IF(H288="","",ROUND(H288*I288,0))</f>
        <v/>
      </c>
      <c r="K288" s="7">
        <f>IF(H288="","",ROUND((H288-J288)*'Danh mục'!$F$3/100,0))</f>
        <v/>
      </c>
      <c r="L288" s="7">
        <f>IF(H288="","",H288-J288+K288)</f>
        <v/>
      </c>
      <c r="M288">
        <f>IF(A288="","",MONTH(A288))</f>
        <v/>
      </c>
    </row>
    <row r="289" spans="1:13">
      <c r="A289" s="6"/>
      <c r="B289" s="4"/>
      <c r="C289" s="4"/>
      <c r="D289" s="4"/>
      <c r="E289">
        <f>IF(D289="","",IFERROR(VLOOKUP(D289,'Danh mục'!$A$4:$C$13,2,FALSE),"Không rõ mã"))</f>
        <v/>
      </c>
      <c r="F289" s="3"/>
      <c r="G289" s="7">
        <f>IF(D289="","",IFERROR(VLOOKUP(D289,'Danh mục'!$A$4:$C$13,3,FALSE),0))</f>
        <v/>
      </c>
      <c r="H289" s="7">
        <f>IF(F289="","",F289*G289)</f>
        <v/>
      </c>
      <c r="I289" s="8">
        <f>IF(F289="","",IF(F289&gt;=50,5%,IF(F289&gt;=20,2%,0)))</f>
        <v/>
      </c>
      <c r="J289" s="7">
        <f>IF(H289="","",ROUND(H289*I289,0))</f>
        <v/>
      </c>
      <c r="K289" s="7">
        <f>IF(H289="","",ROUND((H289-J289)*'Danh mục'!$F$3/100,0))</f>
        <v/>
      </c>
      <c r="L289" s="7">
        <f>IF(H289="","",H289-J289+K289)</f>
        <v/>
      </c>
      <c r="M289">
        <f>IF(A289="","",MONTH(A289))</f>
        <v/>
      </c>
    </row>
    <row r="290" spans="1:13">
      <c r="A290" s="6"/>
      <c r="B290" s="4"/>
      <c r="C290" s="4"/>
      <c r="D290" s="4"/>
      <c r="E290">
        <f>IF(D290="","",IFERROR(VLOOKUP(D290,'Danh mục'!$A$4:$C$13,2,FALSE),"Không rõ mã"))</f>
        <v/>
      </c>
      <c r="F290" s="3"/>
      <c r="G290" s="7">
        <f>IF(D290="","",IFERROR(VLOOKUP(D290,'Danh mục'!$A$4:$C$13,3,FALSE),0))</f>
        <v/>
      </c>
      <c r="H290" s="7">
        <f>IF(F290="","",F290*G290)</f>
        <v/>
      </c>
      <c r="I290" s="8">
        <f>IF(F290="","",IF(F290&gt;=50,5%,IF(F290&gt;=20,2%,0)))</f>
        <v/>
      </c>
      <c r="J290" s="7">
        <f>IF(H290="","",ROUND(H290*I290,0))</f>
        <v/>
      </c>
      <c r="K290" s="7">
        <f>IF(H290="","",ROUND((H290-J290)*'Danh mục'!$F$3/100,0))</f>
        <v/>
      </c>
      <c r="L290" s="7">
        <f>IF(H290="","",H290-J290+K290)</f>
        <v/>
      </c>
      <c r="M290">
        <f>IF(A290="","",MONTH(A290))</f>
        <v/>
      </c>
    </row>
    <row r="291" spans="1:13">
      <c r="A291" s="6"/>
      <c r="B291" s="4"/>
      <c r="C291" s="4"/>
      <c r="D291" s="4"/>
      <c r="E291">
        <f>IF(D291="","",IFERROR(VLOOKUP(D291,'Danh mục'!$A$4:$C$13,2,FALSE),"Không rõ mã"))</f>
        <v/>
      </c>
      <c r="F291" s="3"/>
      <c r="G291" s="7">
        <f>IF(D291="","",IFERROR(VLOOKUP(D291,'Danh mục'!$A$4:$C$13,3,FALSE),0))</f>
        <v/>
      </c>
      <c r="H291" s="7">
        <f>IF(F291="","",F291*G291)</f>
        <v/>
      </c>
      <c r="I291" s="8">
        <f>IF(F291="","",IF(F291&gt;=50,5%,IF(F291&gt;=20,2%,0)))</f>
        <v/>
      </c>
      <c r="J291" s="7">
        <f>IF(H291="","",ROUND(H291*I291,0))</f>
        <v/>
      </c>
      <c r="K291" s="7">
        <f>IF(H291="","",ROUND((H291-J291)*'Danh mục'!$F$3/100,0))</f>
        <v/>
      </c>
      <c r="L291" s="7">
        <f>IF(H291="","",H291-J291+K291)</f>
        <v/>
      </c>
      <c r="M291">
        <f>IF(A291="","",MONTH(A291))</f>
        <v/>
      </c>
    </row>
    <row r="292" spans="1:13">
      <c r="A292" s="6"/>
      <c r="B292" s="4"/>
      <c r="C292" s="4"/>
      <c r="D292" s="4"/>
      <c r="E292">
        <f>IF(D292="","",IFERROR(VLOOKUP(D292,'Danh mục'!$A$4:$C$13,2,FALSE),"Không rõ mã"))</f>
        <v/>
      </c>
      <c r="F292" s="3"/>
      <c r="G292" s="7">
        <f>IF(D292="","",IFERROR(VLOOKUP(D292,'Danh mục'!$A$4:$C$13,3,FALSE),0))</f>
        <v/>
      </c>
      <c r="H292" s="7">
        <f>IF(F292="","",F292*G292)</f>
        <v/>
      </c>
      <c r="I292" s="8">
        <f>IF(F292="","",IF(F292&gt;=50,5%,IF(F292&gt;=20,2%,0)))</f>
        <v/>
      </c>
      <c r="J292" s="7">
        <f>IF(H292="","",ROUND(H292*I292,0))</f>
        <v/>
      </c>
      <c r="K292" s="7">
        <f>IF(H292="","",ROUND((H292-J292)*'Danh mục'!$F$3/100,0))</f>
        <v/>
      </c>
      <c r="L292" s="7">
        <f>IF(H292="","",H292-J292+K292)</f>
        <v/>
      </c>
      <c r="M292">
        <f>IF(A292="","",MONTH(A292))</f>
        <v/>
      </c>
    </row>
    <row r="293" spans="1:13">
      <c r="A293" s="6"/>
      <c r="B293" s="4"/>
      <c r="C293" s="4"/>
      <c r="D293" s="4"/>
      <c r="E293">
        <f>IF(D293="","",IFERROR(VLOOKUP(D293,'Danh mục'!$A$4:$C$13,2,FALSE),"Không rõ mã"))</f>
        <v/>
      </c>
      <c r="F293" s="3"/>
      <c r="G293" s="7">
        <f>IF(D293="","",IFERROR(VLOOKUP(D293,'Danh mục'!$A$4:$C$13,3,FALSE),0))</f>
        <v/>
      </c>
      <c r="H293" s="7">
        <f>IF(F293="","",F293*G293)</f>
        <v/>
      </c>
      <c r="I293" s="8">
        <f>IF(F293="","",IF(F293&gt;=50,5%,IF(F293&gt;=20,2%,0)))</f>
        <v/>
      </c>
      <c r="J293" s="7">
        <f>IF(H293="","",ROUND(H293*I293,0))</f>
        <v/>
      </c>
      <c r="K293" s="7">
        <f>IF(H293="","",ROUND((H293-J293)*'Danh mục'!$F$3/100,0))</f>
        <v/>
      </c>
      <c r="L293" s="7">
        <f>IF(H293="","",H293-J293+K293)</f>
        <v/>
      </c>
      <c r="M293">
        <f>IF(A293="","",MONTH(A293))</f>
        <v/>
      </c>
    </row>
    <row r="294" spans="1:13">
      <c r="A294" s="6"/>
      <c r="B294" s="4"/>
      <c r="C294" s="4"/>
      <c r="D294" s="4"/>
      <c r="E294">
        <f>IF(D294="","",IFERROR(VLOOKUP(D294,'Danh mục'!$A$4:$C$13,2,FALSE),"Không rõ mã"))</f>
        <v/>
      </c>
      <c r="F294" s="3"/>
      <c r="G294" s="7">
        <f>IF(D294="","",IFERROR(VLOOKUP(D294,'Danh mục'!$A$4:$C$13,3,FALSE),0))</f>
        <v/>
      </c>
      <c r="H294" s="7">
        <f>IF(F294="","",F294*G294)</f>
        <v/>
      </c>
      <c r="I294" s="8">
        <f>IF(F294="","",IF(F294&gt;=50,5%,IF(F294&gt;=20,2%,0)))</f>
        <v/>
      </c>
      <c r="J294" s="7">
        <f>IF(H294="","",ROUND(H294*I294,0))</f>
        <v/>
      </c>
      <c r="K294" s="7">
        <f>IF(H294="","",ROUND((H294-J294)*'Danh mục'!$F$3/100,0))</f>
        <v/>
      </c>
      <c r="L294" s="7">
        <f>IF(H294="","",H294-J294+K294)</f>
        <v/>
      </c>
      <c r="M294">
        <f>IF(A294="","",MONTH(A294))</f>
        <v/>
      </c>
    </row>
    <row r="295" spans="1:13">
      <c r="A295" s="6"/>
      <c r="B295" s="4"/>
      <c r="C295" s="4"/>
      <c r="D295" s="4"/>
      <c r="E295">
        <f>IF(D295="","",IFERROR(VLOOKUP(D295,'Danh mục'!$A$4:$C$13,2,FALSE),"Không rõ mã"))</f>
        <v/>
      </c>
      <c r="F295" s="3"/>
      <c r="G295" s="7">
        <f>IF(D295="","",IFERROR(VLOOKUP(D295,'Danh mục'!$A$4:$C$13,3,FALSE),0))</f>
        <v/>
      </c>
      <c r="H295" s="7">
        <f>IF(F295="","",F295*G295)</f>
        <v/>
      </c>
      <c r="I295" s="8">
        <f>IF(F295="","",IF(F295&gt;=50,5%,IF(F295&gt;=20,2%,0)))</f>
        <v/>
      </c>
      <c r="J295" s="7">
        <f>IF(H295="","",ROUND(H295*I295,0))</f>
        <v/>
      </c>
      <c r="K295" s="7">
        <f>IF(H295="","",ROUND((H295-J295)*'Danh mục'!$F$3/100,0))</f>
        <v/>
      </c>
      <c r="L295" s="7">
        <f>IF(H295="","",H295-J295+K295)</f>
        <v/>
      </c>
      <c r="M295">
        <f>IF(A295="","",MONTH(A295))</f>
        <v/>
      </c>
    </row>
    <row r="296" spans="1:13">
      <c r="A296" s="6"/>
      <c r="B296" s="4"/>
      <c r="C296" s="4"/>
      <c r="D296" s="4"/>
      <c r="E296">
        <f>IF(D296="","",IFERROR(VLOOKUP(D296,'Danh mục'!$A$4:$C$13,2,FALSE),"Không rõ mã"))</f>
        <v/>
      </c>
      <c r="F296" s="3"/>
      <c r="G296" s="7">
        <f>IF(D296="","",IFERROR(VLOOKUP(D296,'Danh mục'!$A$4:$C$13,3,FALSE),0))</f>
        <v/>
      </c>
      <c r="H296" s="7">
        <f>IF(F296="","",F296*G296)</f>
        <v/>
      </c>
      <c r="I296" s="8">
        <f>IF(F296="","",IF(F296&gt;=50,5%,IF(F296&gt;=20,2%,0)))</f>
        <v/>
      </c>
      <c r="J296" s="7">
        <f>IF(H296="","",ROUND(H296*I296,0))</f>
        <v/>
      </c>
      <c r="K296" s="7">
        <f>IF(H296="","",ROUND((H296-J296)*'Danh mục'!$F$3/100,0))</f>
        <v/>
      </c>
      <c r="L296" s="7">
        <f>IF(H296="","",H296-J296+K296)</f>
        <v/>
      </c>
      <c r="M296">
        <f>IF(A296="","",MONTH(A296))</f>
        <v/>
      </c>
    </row>
    <row r="297" spans="1:13">
      <c r="A297" s="6"/>
      <c r="B297" s="4"/>
      <c r="C297" s="4"/>
      <c r="D297" s="4"/>
      <c r="E297">
        <f>IF(D297="","",IFERROR(VLOOKUP(D297,'Danh mục'!$A$4:$C$13,2,FALSE),"Không rõ mã"))</f>
        <v/>
      </c>
      <c r="F297" s="3"/>
      <c r="G297" s="7">
        <f>IF(D297="","",IFERROR(VLOOKUP(D297,'Danh mục'!$A$4:$C$13,3,FALSE),0))</f>
        <v/>
      </c>
      <c r="H297" s="7">
        <f>IF(F297="","",F297*G297)</f>
        <v/>
      </c>
      <c r="I297" s="8">
        <f>IF(F297="","",IF(F297&gt;=50,5%,IF(F297&gt;=20,2%,0)))</f>
        <v/>
      </c>
      <c r="J297" s="7">
        <f>IF(H297="","",ROUND(H297*I297,0))</f>
        <v/>
      </c>
      <c r="K297" s="7">
        <f>IF(H297="","",ROUND((H297-J297)*'Danh mục'!$F$3/100,0))</f>
        <v/>
      </c>
      <c r="L297" s="7">
        <f>IF(H297="","",H297-J297+K297)</f>
        <v/>
      </c>
      <c r="M297">
        <f>IF(A297="","",MONTH(A297))</f>
        <v/>
      </c>
    </row>
    <row r="298" spans="1:13">
      <c r="A298" s="6"/>
      <c r="B298" s="4"/>
      <c r="C298" s="4"/>
      <c r="D298" s="4"/>
      <c r="E298">
        <f>IF(D298="","",IFERROR(VLOOKUP(D298,'Danh mục'!$A$4:$C$13,2,FALSE),"Không rõ mã"))</f>
        <v/>
      </c>
      <c r="F298" s="3"/>
      <c r="G298" s="7">
        <f>IF(D298="","",IFERROR(VLOOKUP(D298,'Danh mục'!$A$4:$C$13,3,FALSE),0))</f>
        <v/>
      </c>
      <c r="H298" s="7">
        <f>IF(F298="","",F298*G298)</f>
        <v/>
      </c>
      <c r="I298" s="8">
        <f>IF(F298="","",IF(F298&gt;=50,5%,IF(F298&gt;=20,2%,0)))</f>
        <v/>
      </c>
      <c r="J298" s="7">
        <f>IF(H298="","",ROUND(H298*I298,0))</f>
        <v/>
      </c>
      <c r="K298" s="7">
        <f>IF(H298="","",ROUND((H298-J298)*'Danh mục'!$F$3/100,0))</f>
        <v/>
      </c>
      <c r="L298" s="7">
        <f>IF(H298="","",H298-J298+K298)</f>
        <v/>
      </c>
      <c r="M298">
        <f>IF(A298="","",MONTH(A298))</f>
        <v/>
      </c>
    </row>
    <row r="299" spans="1:13">
      <c r="A299" s="6"/>
      <c r="B299" s="4"/>
      <c r="C299" s="4"/>
      <c r="D299" s="4"/>
      <c r="E299">
        <f>IF(D299="","",IFERROR(VLOOKUP(D299,'Danh mục'!$A$4:$C$13,2,FALSE),"Không rõ mã"))</f>
        <v/>
      </c>
      <c r="F299" s="3"/>
      <c r="G299" s="7">
        <f>IF(D299="","",IFERROR(VLOOKUP(D299,'Danh mục'!$A$4:$C$13,3,FALSE),0))</f>
        <v/>
      </c>
      <c r="H299" s="7">
        <f>IF(F299="","",F299*G299)</f>
        <v/>
      </c>
      <c r="I299" s="8">
        <f>IF(F299="","",IF(F299&gt;=50,5%,IF(F299&gt;=20,2%,0)))</f>
        <v/>
      </c>
      <c r="J299" s="7">
        <f>IF(H299="","",ROUND(H299*I299,0))</f>
        <v/>
      </c>
      <c r="K299" s="7">
        <f>IF(H299="","",ROUND((H299-J299)*'Danh mục'!$F$3/100,0))</f>
        <v/>
      </c>
      <c r="L299" s="7">
        <f>IF(H299="","",H299-J299+K299)</f>
        <v/>
      </c>
      <c r="M299">
        <f>IF(A299="","",MONTH(A299))</f>
        <v/>
      </c>
    </row>
    <row r="300" spans="1:13">
      <c r="A300" s="6"/>
      <c r="B300" s="4"/>
      <c r="C300" s="4"/>
      <c r="D300" s="4"/>
      <c r="E300">
        <f>IF(D300="","",IFERROR(VLOOKUP(D300,'Danh mục'!$A$4:$C$13,2,FALSE),"Không rõ mã"))</f>
        <v/>
      </c>
      <c r="F300" s="3"/>
      <c r="G300" s="7">
        <f>IF(D300="","",IFERROR(VLOOKUP(D300,'Danh mục'!$A$4:$C$13,3,FALSE),0))</f>
        <v/>
      </c>
      <c r="H300" s="7">
        <f>IF(F300="","",F300*G300)</f>
        <v/>
      </c>
      <c r="I300" s="8">
        <f>IF(F300="","",IF(F300&gt;=50,5%,IF(F300&gt;=20,2%,0)))</f>
        <v/>
      </c>
      <c r="J300" s="7">
        <f>IF(H300="","",ROUND(H300*I300,0))</f>
        <v/>
      </c>
      <c r="K300" s="7">
        <f>IF(H300="","",ROUND((H300-J300)*'Danh mục'!$F$3/100,0))</f>
        <v/>
      </c>
      <c r="L300" s="7">
        <f>IF(H300="","",H300-J300+K300)</f>
        <v/>
      </c>
      <c r="M300">
        <f>IF(A300="","",MONTH(A300))</f>
        <v/>
      </c>
    </row>
    <row r="301" spans="1:13">
      <c r="A301" s="6"/>
      <c r="B301" s="4"/>
      <c r="C301" s="4"/>
      <c r="D301" s="4"/>
      <c r="E301">
        <f>IF(D301="","",IFERROR(VLOOKUP(D301,'Danh mục'!$A$4:$C$13,2,FALSE),"Không rõ mã"))</f>
        <v/>
      </c>
      <c r="F301" s="3"/>
      <c r="G301" s="7">
        <f>IF(D301="","",IFERROR(VLOOKUP(D301,'Danh mục'!$A$4:$C$13,3,FALSE),0))</f>
        <v/>
      </c>
      <c r="H301" s="7">
        <f>IF(F301="","",F301*G301)</f>
        <v/>
      </c>
      <c r="I301" s="8">
        <f>IF(F301="","",IF(F301&gt;=50,5%,IF(F301&gt;=20,2%,0)))</f>
        <v/>
      </c>
      <c r="J301" s="7">
        <f>IF(H301="","",ROUND(H301*I301,0))</f>
        <v/>
      </c>
      <c r="K301" s="7">
        <f>IF(H301="","",ROUND((H301-J301)*'Danh mục'!$F$3/100,0))</f>
        <v/>
      </c>
      <c r="L301" s="7">
        <f>IF(H301="","",H301-J301+K301)</f>
        <v/>
      </c>
      <c r="M301">
        <f>IF(A301="","",MONTH(A301))</f>
        <v/>
      </c>
    </row>
    <row r="302" spans="1:13">
      <c r="A302" s="6"/>
      <c r="B302" s="4"/>
      <c r="C302" s="4"/>
      <c r="D302" s="4"/>
      <c r="E302">
        <f>IF(D302="","",IFERROR(VLOOKUP(D302,'Danh mục'!$A$4:$C$13,2,FALSE),"Không rõ mã"))</f>
        <v/>
      </c>
      <c r="F302" s="3"/>
      <c r="G302" s="7">
        <f>IF(D302="","",IFERROR(VLOOKUP(D302,'Danh mục'!$A$4:$C$13,3,FALSE),0))</f>
        <v/>
      </c>
      <c r="H302" s="7">
        <f>IF(F302="","",F302*G302)</f>
        <v/>
      </c>
      <c r="I302" s="8">
        <f>IF(F302="","",IF(F302&gt;=50,5%,IF(F302&gt;=20,2%,0)))</f>
        <v/>
      </c>
      <c r="J302" s="7">
        <f>IF(H302="","",ROUND(H302*I302,0))</f>
        <v/>
      </c>
      <c r="K302" s="7">
        <f>IF(H302="","",ROUND((H302-J302)*'Danh mục'!$F$3/100,0))</f>
        <v/>
      </c>
      <c r="L302" s="7">
        <f>IF(H302="","",H302-J302+K302)</f>
        <v/>
      </c>
      <c r="M302">
        <f>IF(A302="","",MONTH(A302))</f>
        <v/>
      </c>
    </row>
    <row r="303" spans="1:13">
      <c r="A303" s="6"/>
      <c r="B303" s="4"/>
      <c r="C303" s="4"/>
      <c r="D303" s="4"/>
      <c r="E303">
        <f>IF(D303="","",IFERROR(VLOOKUP(D303,'Danh mục'!$A$4:$C$13,2,FALSE),"Không rõ mã"))</f>
        <v/>
      </c>
      <c r="F303" s="3"/>
      <c r="G303" s="7">
        <f>IF(D303="","",IFERROR(VLOOKUP(D303,'Danh mục'!$A$4:$C$13,3,FALSE),0))</f>
        <v/>
      </c>
      <c r="H303" s="7">
        <f>IF(F303="","",F303*G303)</f>
        <v/>
      </c>
      <c r="I303" s="8">
        <f>IF(F303="","",IF(F303&gt;=50,5%,IF(F303&gt;=20,2%,0)))</f>
        <v/>
      </c>
      <c r="J303" s="7">
        <f>IF(H303="","",ROUND(H303*I303,0))</f>
        <v/>
      </c>
      <c r="K303" s="7">
        <f>IF(H303="","",ROUND((H303-J303)*'Danh mục'!$F$3/100,0))</f>
        <v/>
      </c>
      <c r="L303" s="7">
        <f>IF(H303="","",H303-J303+K303)</f>
        <v/>
      </c>
      <c r="M303">
        <f>IF(A303="","",MONTH(A303))</f>
        <v/>
      </c>
    </row>
    <row r="304" spans="1:13">
      <c r="A304" s="6"/>
      <c r="B304" s="4"/>
      <c r="C304" s="4"/>
      <c r="D304" s="4"/>
      <c r="E304">
        <f>IF(D304="","",IFERROR(VLOOKUP(D304,'Danh mục'!$A$4:$C$13,2,FALSE),"Không rõ mã"))</f>
        <v/>
      </c>
      <c r="F304" s="3"/>
      <c r="G304" s="7">
        <f>IF(D304="","",IFERROR(VLOOKUP(D304,'Danh mục'!$A$4:$C$13,3,FALSE),0))</f>
        <v/>
      </c>
      <c r="H304" s="7">
        <f>IF(F304="","",F304*G304)</f>
        <v/>
      </c>
      <c r="I304" s="8">
        <f>IF(F304="","",IF(F304&gt;=50,5%,IF(F304&gt;=20,2%,0)))</f>
        <v/>
      </c>
      <c r="J304" s="7">
        <f>IF(H304="","",ROUND(H304*I304,0))</f>
        <v/>
      </c>
      <c r="K304" s="7">
        <f>IF(H304="","",ROUND((H304-J304)*'Danh mục'!$F$3/100,0))</f>
        <v/>
      </c>
      <c r="L304" s="7">
        <f>IF(H304="","",H304-J304+K304)</f>
        <v/>
      </c>
      <c r="M304">
        <f>IF(A304="","",MONTH(A304))</f>
        <v/>
      </c>
    </row>
    <row r="305" spans="1:13">
      <c r="A305" s="6"/>
      <c r="B305" s="4"/>
      <c r="C305" s="4"/>
      <c r="D305" s="4"/>
      <c r="E305">
        <f>IF(D305="","",IFERROR(VLOOKUP(D305,'Danh mục'!$A$4:$C$13,2,FALSE),"Không rõ mã"))</f>
        <v/>
      </c>
      <c r="F305" s="3"/>
      <c r="G305" s="7">
        <f>IF(D305="","",IFERROR(VLOOKUP(D305,'Danh mục'!$A$4:$C$13,3,FALSE),0))</f>
        <v/>
      </c>
      <c r="H305" s="7">
        <f>IF(F305="","",F305*G305)</f>
        <v/>
      </c>
      <c r="I305" s="8">
        <f>IF(F305="","",IF(F305&gt;=50,5%,IF(F305&gt;=20,2%,0)))</f>
        <v/>
      </c>
      <c r="J305" s="7">
        <f>IF(H305="","",ROUND(H305*I305,0))</f>
        <v/>
      </c>
      <c r="K305" s="7">
        <f>IF(H305="","",ROUND((H305-J305)*'Danh mục'!$F$3/100,0))</f>
        <v/>
      </c>
      <c r="L305" s="7">
        <f>IF(H305="","",H305-J305+K305)</f>
        <v/>
      </c>
      <c r="M305">
        <f>IF(A305="","",MONTH(A305))</f>
        <v/>
      </c>
    </row>
    <row r="306" spans="1:13">
      <c r="A306" s="6"/>
      <c r="B306" s="4"/>
      <c r="C306" s="4"/>
      <c r="D306" s="4"/>
      <c r="E306">
        <f>IF(D306="","",IFERROR(VLOOKUP(D306,'Danh mục'!$A$4:$C$13,2,FALSE),"Không rõ mã"))</f>
        <v/>
      </c>
      <c r="F306" s="3"/>
      <c r="G306" s="7">
        <f>IF(D306="","",IFERROR(VLOOKUP(D306,'Danh mục'!$A$4:$C$13,3,FALSE),0))</f>
        <v/>
      </c>
      <c r="H306" s="7">
        <f>IF(F306="","",F306*G306)</f>
        <v/>
      </c>
      <c r="I306" s="8">
        <f>IF(F306="","",IF(F306&gt;=50,5%,IF(F306&gt;=20,2%,0)))</f>
        <v/>
      </c>
      <c r="J306" s="7">
        <f>IF(H306="","",ROUND(H306*I306,0))</f>
        <v/>
      </c>
      <c r="K306" s="7">
        <f>IF(H306="","",ROUND((H306-J306)*'Danh mục'!$F$3/100,0))</f>
        <v/>
      </c>
      <c r="L306" s="7">
        <f>IF(H306="","",H306-J306+K306)</f>
        <v/>
      </c>
      <c r="M306">
        <f>IF(A306="","",MONTH(A306))</f>
        <v/>
      </c>
    </row>
    <row r="307" spans="1:13">
      <c r="A307" s="6"/>
      <c r="B307" s="4"/>
      <c r="C307" s="4"/>
      <c r="D307" s="4"/>
      <c r="E307">
        <f>IF(D307="","",IFERROR(VLOOKUP(D307,'Danh mục'!$A$4:$C$13,2,FALSE),"Không rõ mã"))</f>
        <v/>
      </c>
      <c r="F307" s="3"/>
      <c r="G307" s="7">
        <f>IF(D307="","",IFERROR(VLOOKUP(D307,'Danh mục'!$A$4:$C$13,3,FALSE),0))</f>
        <v/>
      </c>
      <c r="H307" s="7">
        <f>IF(F307="","",F307*G307)</f>
        <v/>
      </c>
      <c r="I307" s="8">
        <f>IF(F307="","",IF(F307&gt;=50,5%,IF(F307&gt;=20,2%,0)))</f>
        <v/>
      </c>
      <c r="J307" s="7">
        <f>IF(H307="","",ROUND(H307*I307,0))</f>
        <v/>
      </c>
      <c r="K307" s="7">
        <f>IF(H307="","",ROUND((H307-J307)*'Danh mục'!$F$3/100,0))</f>
        <v/>
      </c>
      <c r="L307" s="7">
        <f>IF(H307="","",H307-J307+K307)</f>
        <v/>
      </c>
      <c r="M307">
        <f>IF(A307="","",MONTH(A307))</f>
        <v/>
      </c>
    </row>
    <row r="308" spans="1:13">
      <c r="A308" s="6"/>
      <c r="B308" s="4"/>
      <c r="C308" s="4"/>
      <c r="D308" s="4"/>
      <c r="E308">
        <f>IF(D308="","",IFERROR(VLOOKUP(D308,'Danh mục'!$A$4:$C$13,2,FALSE),"Không rõ mã"))</f>
        <v/>
      </c>
      <c r="F308" s="3"/>
      <c r="G308" s="7">
        <f>IF(D308="","",IFERROR(VLOOKUP(D308,'Danh mục'!$A$4:$C$13,3,FALSE),0))</f>
        <v/>
      </c>
      <c r="H308" s="7">
        <f>IF(F308="","",F308*G308)</f>
        <v/>
      </c>
      <c r="I308" s="8">
        <f>IF(F308="","",IF(F308&gt;=50,5%,IF(F308&gt;=20,2%,0)))</f>
        <v/>
      </c>
      <c r="J308" s="7">
        <f>IF(H308="","",ROUND(H308*I308,0))</f>
        <v/>
      </c>
      <c r="K308" s="7">
        <f>IF(H308="","",ROUND((H308-J308)*'Danh mục'!$F$3/100,0))</f>
        <v/>
      </c>
      <c r="L308" s="7">
        <f>IF(H308="","",H308-J308+K308)</f>
        <v/>
      </c>
      <c r="M308">
        <f>IF(A308="","",MONTH(A308))</f>
        <v/>
      </c>
    </row>
    <row r="309" spans="1:13">
      <c r="A309" s="6"/>
      <c r="B309" s="4"/>
      <c r="C309" s="4"/>
      <c r="D309" s="4"/>
      <c r="E309">
        <f>IF(D309="","",IFERROR(VLOOKUP(D309,'Danh mục'!$A$4:$C$13,2,FALSE),"Không rõ mã"))</f>
        <v/>
      </c>
      <c r="F309" s="3"/>
      <c r="G309" s="7">
        <f>IF(D309="","",IFERROR(VLOOKUP(D309,'Danh mục'!$A$4:$C$13,3,FALSE),0))</f>
        <v/>
      </c>
      <c r="H309" s="7">
        <f>IF(F309="","",F309*G309)</f>
        <v/>
      </c>
      <c r="I309" s="8">
        <f>IF(F309="","",IF(F309&gt;=50,5%,IF(F309&gt;=20,2%,0)))</f>
        <v/>
      </c>
      <c r="J309" s="7">
        <f>IF(H309="","",ROUND(H309*I309,0))</f>
        <v/>
      </c>
      <c r="K309" s="7">
        <f>IF(H309="","",ROUND((H309-J309)*'Danh mục'!$F$3/100,0))</f>
        <v/>
      </c>
      <c r="L309" s="7">
        <f>IF(H309="","",H309-J309+K309)</f>
        <v/>
      </c>
      <c r="M309">
        <f>IF(A309="","",MONTH(A309))</f>
        <v/>
      </c>
    </row>
    <row r="310" spans="1:13">
      <c r="A310" s="6"/>
      <c r="B310" s="4"/>
      <c r="C310" s="4"/>
      <c r="D310" s="4"/>
      <c r="E310">
        <f>IF(D310="","",IFERROR(VLOOKUP(D310,'Danh mục'!$A$4:$C$13,2,FALSE),"Không rõ mã"))</f>
        <v/>
      </c>
      <c r="F310" s="3"/>
      <c r="G310" s="7">
        <f>IF(D310="","",IFERROR(VLOOKUP(D310,'Danh mục'!$A$4:$C$13,3,FALSE),0))</f>
        <v/>
      </c>
      <c r="H310" s="7">
        <f>IF(F310="","",F310*G310)</f>
        <v/>
      </c>
      <c r="I310" s="8">
        <f>IF(F310="","",IF(F310&gt;=50,5%,IF(F310&gt;=20,2%,0)))</f>
        <v/>
      </c>
      <c r="J310" s="7">
        <f>IF(H310="","",ROUND(H310*I310,0))</f>
        <v/>
      </c>
      <c r="K310" s="7">
        <f>IF(H310="","",ROUND((H310-J310)*'Danh mục'!$F$3/100,0))</f>
        <v/>
      </c>
      <c r="L310" s="7">
        <f>IF(H310="","",H310-J310+K310)</f>
        <v/>
      </c>
      <c r="M310">
        <f>IF(A310="","",MONTH(A310))</f>
        <v/>
      </c>
    </row>
    <row r="311" spans="1:13">
      <c r="A311" s="6"/>
      <c r="B311" s="4"/>
      <c r="C311" s="4"/>
      <c r="D311" s="4"/>
      <c r="E311">
        <f>IF(D311="","",IFERROR(VLOOKUP(D311,'Danh mục'!$A$4:$C$13,2,FALSE),"Không rõ mã"))</f>
        <v/>
      </c>
      <c r="F311" s="3"/>
      <c r="G311" s="7">
        <f>IF(D311="","",IFERROR(VLOOKUP(D311,'Danh mục'!$A$4:$C$13,3,FALSE),0))</f>
        <v/>
      </c>
      <c r="H311" s="7">
        <f>IF(F311="","",F311*G311)</f>
        <v/>
      </c>
      <c r="I311" s="8">
        <f>IF(F311="","",IF(F311&gt;=50,5%,IF(F311&gt;=20,2%,0)))</f>
        <v/>
      </c>
      <c r="J311" s="7">
        <f>IF(H311="","",ROUND(H311*I311,0))</f>
        <v/>
      </c>
      <c r="K311" s="7">
        <f>IF(H311="","",ROUND((H311-J311)*'Danh mục'!$F$3/100,0))</f>
        <v/>
      </c>
      <c r="L311" s="7">
        <f>IF(H311="","",H311-J311+K311)</f>
        <v/>
      </c>
      <c r="M311">
        <f>IF(A311="","",MONTH(A311))</f>
        <v/>
      </c>
    </row>
    <row r="312" spans="1:13">
      <c r="A312" s="6"/>
      <c r="B312" s="4"/>
      <c r="C312" s="4"/>
      <c r="D312" s="4"/>
      <c r="E312">
        <f>IF(D312="","",IFERROR(VLOOKUP(D312,'Danh mục'!$A$4:$C$13,2,FALSE),"Không rõ mã"))</f>
        <v/>
      </c>
      <c r="F312" s="3"/>
      <c r="G312" s="7">
        <f>IF(D312="","",IFERROR(VLOOKUP(D312,'Danh mục'!$A$4:$C$13,3,FALSE),0))</f>
        <v/>
      </c>
      <c r="H312" s="7">
        <f>IF(F312="","",F312*G312)</f>
        <v/>
      </c>
      <c r="I312" s="8">
        <f>IF(F312="","",IF(F312&gt;=50,5%,IF(F312&gt;=20,2%,0)))</f>
        <v/>
      </c>
      <c r="J312" s="7">
        <f>IF(H312="","",ROUND(H312*I312,0))</f>
        <v/>
      </c>
      <c r="K312" s="7">
        <f>IF(H312="","",ROUND((H312-J312)*'Danh mục'!$F$3/100,0))</f>
        <v/>
      </c>
      <c r="L312" s="7">
        <f>IF(H312="","",H312-J312+K312)</f>
        <v/>
      </c>
      <c r="M312">
        <f>IF(A312="","",MONTH(A312))</f>
        <v/>
      </c>
    </row>
    <row r="313" spans="1:13">
      <c r="A313" s="6"/>
      <c r="B313" s="4"/>
      <c r="C313" s="4"/>
      <c r="D313" s="4"/>
      <c r="E313">
        <f>IF(D313="","",IFERROR(VLOOKUP(D313,'Danh mục'!$A$4:$C$13,2,FALSE),"Không rõ mã"))</f>
        <v/>
      </c>
      <c r="F313" s="3"/>
      <c r="G313" s="7">
        <f>IF(D313="","",IFERROR(VLOOKUP(D313,'Danh mục'!$A$4:$C$13,3,FALSE),0))</f>
        <v/>
      </c>
      <c r="H313" s="7">
        <f>IF(F313="","",F313*G313)</f>
        <v/>
      </c>
      <c r="I313" s="8">
        <f>IF(F313="","",IF(F313&gt;=50,5%,IF(F313&gt;=20,2%,0)))</f>
        <v/>
      </c>
      <c r="J313" s="7">
        <f>IF(H313="","",ROUND(H313*I313,0))</f>
        <v/>
      </c>
      <c r="K313" s="7">
        <f>IF(H313="","",ROUND((H313-J313)*'Danh mục'!$F$3/100,0))</f>
        <v/>
      </c>
      <c r="L313" s="7">
        <f>IF(H313="","",H313-J313+K313)</f>
        <v/>
      </c>
      <c r="M313">
        <f>IF(A313="","",MONTH(A313))</f>
        <v/>
      </c>
    </row>
    <row r="314" spans="1:13">
      <c r="A314" s="6"/>
      <c r="B314" s="4"/>
      <c r="C314" s="4"/>
      <c r="D314" s="4"/>
      <c r="E314">
        <f>IF(D314="","",IFERROR(VLOOKUP(D314,'Danh mục'!$A$4:$C$13,2,FALSE),"Không rõ mã"))</f>
        <v/>
      </c>
      <c r="F314" s="3"/>
      <c r="G314" s="7">
        <f>IF(D314="","",IFERROR(VLOOKUP(D314,'Danh mục'!$A$4:$C$13,3,FALSE),0))</f>
        <v/>
      </c>
      <c r="H314" s="7">
        <f>IF(F314="","",F314*G314)</f>
        <v/>
      </c>
      <c r="I314" s="8">
        <f>IF(F314="","",IF(F314&gt;=50,5%,IF(F314&gt;=20,2%,0)))</f>
        <v/>
      </c>
      <c r="J314" s="7">
        <f>IF(H314="","",ROUND(H314*I314,0))</f>
        <v/>
      </c>
      <c r="K314" s="7">
        <f>IF(H314="","",ROUND((H314-J314)*'Danh mục'!$F$3/100,0))</f>
        <v/>
      </c>
      <c r="L314" s="7">
        <f>IF(H314="","",H314-J314+K314)</f>
        <v/>
      </c>
      <c r="M314">
        <f>IF(A314="","",MONTH(A314))</f>
        <v/>
      </c>
    </row>
    <row r="315" spans="1:13">
      <c r="A315" s="6"/>
      <c r="B315" s="4"/>
      <c r="C315" s="4"/>
      <c r="D315" s="4"/>
      <c r="E315">
        <f>IF(D315="","",IFERROR(VLOOKUP(D315,'Danh mục'!$A$4:$C$13,2,FALSE),"Không rõ mã"))</f>
        <v/>
      </c>
      <c r="F315" s="3"/>
      <c r="G315" s="7">
        <f>IF(D315="","",IFERROR(VLOOKUP(D315,'Danh mục'!$A$4:$C$13,3,FALSE),0))</f>
        <v/>
      </c>
      <c r="H315" s="7">
        <f>IF(F315="","",F315*G315)</f>
        <v/>
      </c>
      <c r="I315" s="8">
        <f>IF(F315="","",IF(F315&gt;=50,5%,IF(F315&gt;=20,2%,0)))</f>
        <v/>
      </c>
      <c r="J315" s="7">
        <f>IF(H315="","",ROUND(H315*I315,0))</f>
        <v/>
      </c>
      <c r="K315" s="7">
        <f>IF(H315="","",ROUND((H315-J315)*'Danh mục'!$F$3/100,0))</f>
        <v/>
      </c>
      <c r="L315" s="7">
        <f>IF(H315="","",H315-J315+K315)</f>
        <v/>
      </c>
      <c r="M315">
        <f>IF(A315="","",MONTH(A315))</f>
        <v/>
      </c>
    </row>
    <row r="316" spans="1:13">
      <c r="A316" s="6"/>
      <c r="B316" s="4"/>
      <c r="C316" s="4"/>
      <c r="D316" s="4"/>
      <c r="E316">
        <f>IF(D316="","",IFERROR(VLOOKUP(D316,'Danh mục'!$A$4:$C$13,2,FALSE),"Không rõ mã"))</f>
        <v/>
      </c>
      <c r="F316" s="3"/>
      <c r="G316" s="7">
        <f>IF(D316="","",IFERROR(VLOOKUP(D316,'Danh mục'!$A$4:$C$13,3,FALSE),0))</f>
        <v/>
      </c>
      <c r="H316" s="7">
        <f>IF(F316="","",F316*G316)</f>
        <v/>
      </c>
      <c r="I316" s="8">
        <f>IF(F316="","",IF(F316&gt;=50,5%,IF(F316&gt;=20,2%,0)))</f>
        <v/>
      </c>
      <c r="J316" s="7">
        <f>IF(H316="","",ROUND(H316*I316,0))</f>
        <v/>
      </c>
      <c r="K316" s="7">
        <f>IF(H316="","",ROUND((H316-J316)*'Danh mục'!$F$3/100,0))</f>
        <v/>
      </c>
      <c r="L316" s="7">
        <f>IF(H316="","",H316-J316+K316)</f>
        <v/>
      </c>
      <c r="M316">
        <f>IF(A316="","",MONTH(A316))</f>
        <v/>
      </c>
    </row>
    <row r="317" spans="1:13">
      <c r="A317" s="6"/>
      <c r="B317" s="4"/>
      <c r="C317" s="4"/>
      <c r="D317" s="4"/>
      <c r="E317">
        <f>IF(D317="","",IFERROR(VLOOKUP(D317,'Danh mục'!$A$4:$C$13,2,FALSE),"Không rõ mã"))</f>
        <v/>
      </c>
      <c r="F317" s="3"/>
      <c r="G317" s="7">
        <f>IF(D317="","",IFERROR(VLOOKUP(D317,'Danh mục'!$A$4:$C$13,3,FALSE),0))</f>
        <v/>
      </c>
      <c r="H317" s="7">
        <f>IF(F317="","",F317*G317)</f>
        <v/>
      </c>
      <c r="I317" s="8">
        <f>IF(F317="","",IF(F317&gt;=50,5%,IF(F317&gt;=20,2%,0)))</f>
        <v/>
      </c>
      <c r="J317" s="7">
        <f>IF(H317="","",ROUND(H317*I317,0))</f>
        <v/>
      </c>
      <c r="K317" s="7">
        <f>IF(H317="","",ROUND((H317-J317)*'Danh mục'!$F$3/100,0))</f>
        <v/>
      </c>
      <c r="L317" s="7">
        <f>IF(H317="","",H317-J317+K317)</f>
        <v/>
      </c>
      <c r="M317">
        <f>IF(A317="","",MONTH(A317))</f>
        <v/>
      </c>
    </row>
    <row r="318" spans="1:13">
      <c r="A318" s="6"/>
      <c r="B318" s="4"/>
      <c r="C318" s="4"/>
      <c r="D318" s="4"/>
      <c r="E318">
        <f>IF(D318="","",IFERROR(VLOOKUP(D318,'Danh mục'!$A$4:$C$13,2,FALSE),"Không rõ mã"))</f>
        <v/>
      </c>
      <c r="F318" s="3"/>
      <c r="G318" s="7">
        <f>IF(D318="","",IFERROR(VLOOKUP(D318,'Danh mục'!$A$4:$C$13,3,FALSE),0))</f>
        <v/>
      </c>
      <c r="H318" s="7">
        <f>IF(F318="","",F318*G318)</f>
        <v/>
      </c>
      <c r="I318" s="8">
        <f>IF(F318="","",IF(F318&gt;=50,5%,IF(F318&gt;=20,2%,0)))</f>
        <v/>
      </c>
      <c r="J318" s="7">
        <f>IF(H318="","",ROUND(H318*I318,0))</f>
        <v/>
      </c>
      <c r="K318" s="7">
        <f>IF(H318="","",ROUND((H318-J318)*'Danh mục'!$F$3/100,0))</f>
        <v/>
      </c>
      <c r="L318" s="7">
        <f>IF(H318="","",H318-J318+K318)</f>
        <v/>
      </c>
      <c r="M318">
        <f>IF(A318="","",MONTH(A318))</f>
        <v/>
      </c>
    </row>
    <row r="319" spans="1:13">
      <c r="A319" s="6"/>
      <c r="B319" s="4"/>
      <c r="C319" s="4"/>
      <c r="D319" s="4"/>
      <c r="E319">
        <f>IF(D319="","",IFERROR(VLOOKUP(D319,'Danh mục'!$A$4:$C$13,2,FALSE),"Không rõ mã"))</f>
        <v/>
      </c>
      <c r="F319" s="3"/>
      <c r="G319" s="7">
        <f>IF(D319="","",IFERROR(VLOOKUP(D319,'Danh mục'!$A$4:$C$13,3,FALSE),0))</f>
        <v/>
      </c>
      <c r="H319" s="7">
        <f>IF(F319="","",F319*G319)</f>
        <v/>
      </c>
      <c r="I319" s="8">
        <f>IF(F319="","",IF(F319&gt;=50,5%,IF(F319&gt;=20,2%,0)))</f>
        <v/>
      </c>
      <c r="J319" s="7">
        <f>IF(H319="","",ROUND(H319*I319,0))</f>
        <v/>
      </c>
      <c r="K319" s="7">
        <f>IF(H319="","",ROUND((H319-J319)*'Danh mục'!$F$3/100,0))</f>
        <v/>
      </c>
      <c r="L319" s="7">
        <f>IF(H319="","",H319-J319+K319)</f>
        <v/>
      </c>
      <c r="M319">
        <f>IF(A319="","",MONTH(A319))</f>
        <v/>
      </c>
    </row>
    <row r="320" spans="1:13">
      <c r="A320" s="6"/>
      <c r="B320" s="4"/>
      <c r="C320" s="4"/>
      <c r="D320" s="4"/>
      <c r="E320">
        <f>IF(D320="","",IFERROR(VLOOKUP(D320,'Danh mục'!$A$4:$C$13,2,FALSE),"Không rõ mã"))</f>
        <v/>
      </c>
      <c r="F320" s="3"/>
      <c r="G320" s="7">
        <f>IF(D320="","",IFERROR(VLOOKUP(D320,'Danh mục'!$A$4:$C$13,3,FALSE),0))</f>
        <v/>
      </c>
      <c r="H320" s="7">
        <f>IF(F320="","",F320*G320)</f>
        <v/>
      </c>
      <c r="I320" s="8">
        <f>IF(F320="","",IF(F320&gt;=50,5%,IF(F320&gt;=20,2%,0)))</f>
        <v/>
      </c>
      <c r="J320" s="7">
        <f>IF(H320="","",ROUND(H320*I320,0))</f>
        <v/>
      </c>
      <c r="K320" s="7">
        <f>IF(H320="","",ROUND((H320-J320)*'Danh mục'!$F$3/100,0))</f>
        <v/>
      </c>
      <c r="L320" s="7">
        <f>IF(H320="","",H320-J320+K320)</f>
        <v/>
      </c>
      <c r="M320">
        <f>IF(A320="","",MONTH(A320))</f>
        <v/>
      </c>
    </row>
    <row r="321" spans="1:13">
      <c r="A321" s="6"/>
      <c r="B321" s="4"/>
      <c r="C321" s="4"/>
      <c r="D321" s="4"/>
      <c r="E321">
        <f>IF(D321="","",IFERROR(VLOOKUP(D321,'Danh mục'!$A$4:$C$13,2,FALSE),"Không rõ mã"))</f>
        <v/>
      </c>
      <c r="F321" s="3"/>
      <c r="G321" s="7">
        <f>IF(D321="","",IFERROR(VLOOKUP(D321,'Danh mục'!$A$4:$C$13,3,FALSE),0))</f>
        <v/>
      </c>
      <c r="H321" s="7">
        <f>IF(F321="","",F321*G321)</f>
        <v/>
      </c>
      <c r="I321" s="8">
        <f>IF(F321="","",IF(F321&gt;=50,5%,IF(F321&gt;=20,2%,0)))</f>
        <v/>
      </c>
      <c r="J321" s="7">
        <f>IF(H321="","",ROUND(H321*I321,0))</f>
        <v/>
      </c>
      <c r="K321" s="7">
        <f>IF(H321="","",ROUND((H321-J321)*'Danh mục'!$F$3/100,0))</f>
        <v/>
      </c>
      <c r="L321" s="7">
        <f>IF(H321="","",H321-J321+K321)</f>
        <v/>
      </c>
      <c r="M321">
        <f>IF(A321="","",MONTH(A321))</f>
        <v/>
      </c>
    </row>
    <row r="322" spans="1:13">
      <c r="A322" s="6"/>
      <c r="B322" s="4"/>
      <c r="C322" s="4"/>
      <c r="D322" s="4"/>
      <c r="E322">
        <f>IF(D322="","",IFERROR(VLOOKUP(D322,'Danh mục'!$A$4:$C$13,2,FALSE),"Không rõ mã"))</f>
        <v/>
      </c>
      <c r="F322" s="3"/>
      <c r="G322" s="7">
        <f>IF(D322="","",IFERROR(VLOOKUP(D322,'Danh mục'!$A$4:$C$13,3,FALSE),0))</f>
        <v/>
      </c>
      <c r="H322" s="7">
        <f>IF(F322="","",F322*G322)</f>
        <v/>
      </c>
      <c r="I322" s="8">
        <f>IF(F322="","",IF(F322&gt;=50,5%,IF(F322&gt;=20,2%,0)))</f>
        <v/>
      </c>
      <c r="J322" s="7">
        <f>IF(H322="","",ROUND(H322*I322,0))</f>
        <v/>
      </c>
      <c r="K322" s="7">
        <f>IF(H322="","",ROUND((H322-J322)*'Danh mục'!$F$3/100,0))</f>
        <v/>
      </c>
      <c r="L322" s="7">
        <f>IF(H322="","",H322-J322+K322)</f>
        <v/>
      </c>
      <c r="M322">
        <f>IF(A322="","",MONTH(A322))</f>
        <v/>
      </c>
    </row>
    <row r="323" spans="1:13">
      <c r="A323" s="6"/>
      <c r="B323" s="4"/>
      <c r="C323" s="4"/>
      <c r="D323" s="4"/>
      <c r="E323">
        <f>IF(D323="","",IFERROR(VLOOKUP(D323,'Danh mục'!$A$4:$C$13,2,FALSE),"Không rõ mã"))</f>
        <v/>
      </c>
      <c r="F323" s="3"/>
      <c r="G323" s="7">
        <f>IF(D323="","",IFERROR(VLOOKUP(D323,'Danh mục'!$A$4:$C$13,3,FALSE),0))</f>
        <v/>
      </c>
      <c r="H323" s="7">
        <f>IF(F323="","",F323*G323)</f>
        <v/>
      </c>
      <c r="I323" s="8">
        <f>IF(F323="","",IF(F323&gt;=50,5%,IF(F323&gt;=20,2%,0)))</f>
        <v/>
      </c>
      <c r="J323" s="7">
        <f>IF(H323="","",ROUND(H323*I323,0))</f>
        <v/>
      </c>
      <c r="K323" s="7">
        <f>IF(H323="","",ROUND((H323-J323)*'Danh mục'!$F$3/100,0))</f>
        <v/>
      </c>
      <c r="L323" s="7">
        <f>IF(H323="","",H323-J323+K323)</f>
        <v/>
      </c>
      <c r="M323">
        <f>IF(A323="","",MONTH(A323))</f>
        <v/>
      </c>
    </row>
    <row r="324" spans="1:13">
      <c r="A324" s="6"/>
      <c r="B324" s="4"/>
      <c r="C324" s="4"/>
      <c r="D324" s="4"/>
      <c r="E324">
        <f>IF(D324="","",IFERROR(VLOOKUP(D324,'Danh mục'!$A$4:$C$13,2,FALSE),"Không rõ mã"))</f>
        <v/>
      </c>
      <c r="F324" s="3"/>
      <c r="G324" s="7">
        <f>IF(D324="","",IFERROR(VLOOKUP(D324,'Danh mục'!$A$4:$C$13,3,FALSE),0))</f>
        <v/>
      </c>
      <c r="H324" s="7">
        <f>IF(F324="","",F324*G324)</f>
        <v/>
      </c>
      <c r="I324" s="8">
        <f>IF(F324="","",IF(F324&gt;=50,5%,IF(F324&gt;=20,2%,0)))</f>
        <v/>
      </c>
      <c r="J324" s="7">
        <f>IF(H324="","",ROUND(H324*I324,0))</f>
        <v/>
      </c>
      <c r="K324" s="7">
        <f>IF(H324="","",ROUND((H324-J324)*'Danh mục'!$F$3/100,0))</f>
        <v/>
      </c>
      <c r="L324" s="7">
        <f>IF(H324="","",H324-J324+K324)</f>
        <v/>
      </c>
      <c r="M324">
        <f>IF(A324="","",MONTH(A324))</f>
        <v/>
      </c>
    </row>
    <row r="325" spans="1:13">
      <c r="A325" s="6"/>
      <c r="B325" s="4"/>
      <c r="C325" s="4"/>
      <c r="D325" s="4"/>
      <c r="E325">
        <f>IF(D325="","",IFERROR(VLOOKUP(D325,'Danh mục'!$A$4:$C$13,2,FALSE),"Không rõ mã"))</f>
        <v/>
      </c>
      <c r="F325" s="3"/>
      <c r="G325" s="7">
        <f>IF(D325="","",IFERROR(VLOOKUP(D325,'Danh mục'!$A$4:$C$13,3,FALSE),0))</f>
        <v/>
      </c>
      <c r="H325" s="7">
        <f>IF(F325="","",F325*G325)</f>
        <v/>
      </c>
      <c r="I325" s="8">
        <f>IF(F325="","",IF(F325&gt;=50,5%,IF(F325&gt;=20,2%,0)))</f>
        <v/>
      </c>
      <c r="J325" s="7">
        <f>IF(H325="","",ROUND(H325*I325,0))</f>
        <v/>
      </c>
      <c r="K325" s="7">
        <f>IF(H325="","",ROUND((H325-J325)*'Danh mục'!$F$3/100,0))</f>
        <v/>
      </c>
      <c r="L325" s="7">
        <f>IF(H325="","",H325-J325+K325)</f>
        <v/>
      </c>
      <c r="M325">
        <f>IF(A325="","",MONTH(A325))</f>
        <v/>
      </c>
    </row>
    <row r="326" spans="1:13">
      <c r="A326" s="6"/>
      <c r="B326" s="4"/>
      <c r="C326" s="4"/>
      <c r="D326" s="4"/>
      <c r="E326">
        <f>IF(D326="","",IFERROR(VLOOKUP(D326,'Danh mục'!$A$4:$C$13,2,FALSE),"Không rõ mã"))</f>
        <v/>
      </c>
      <c r="F326" s="3"/>
      <c r="G326" s="7">
        <f>IF(D326="","",IFERROR(VLOOKUP(D326,'Danh mục'!$A$4:$C$13,3,FALSE),0))</f>
        <v/>
      </c>
      <c r="H326" s="7">
        <f>IF(F326="","",F326*G326)</f>
        <v/>
      </c>
      <c r="I326" s="8">
        <f>IF(F326="","",IF(F326&gt;=50,5%,IF(F326&gt;=20,2%,0)))</f>
        <v/>
      </c>
      <c r="J326" s="7">
        <f>IF(H326="","",ROUND(H326*I326,0))</f>
        <v/>
      </c>
      <c r="K326" s="7">
        <f>IF(H326="","",ROUND((H326-J326)*'Danh mục'!$F$3/100,0))</f>
        <v/>
      </c>
      <c r="L326" s="7">
        <f>IF(H326="","",H326-J326+K326)</f>
        <v/>
      </c>
      <c r="M326">
        <f>IF(A326="","",MONTH(A326))</f>
        <v/>
      </c>
    </row>
    <row r="327" spans="1:13">
      <c r="A327" s="6"/>
      <c r="B327" s="4"/>
      <c r="C327" s="4"/>
      <c r="D327" s="4"/>
      <c r="E327">
        <f>IF(D327="","",IFERROR(VLOOKUP(D327,'Danh mục'!$A$4:$C$13,2,FALSE),"Không rõ mã"))</f>
        <v/>
      </c>
      <c r="F327" s="3"/>
      <c r="G327" s="7">
        <f>IF(D327="","",IFERROR(VLOOKUP(D327,'Danh mục'!$A$4:$C$13,3,FALSE),0))</f>
        <v/>
      </c>
      <c r="H327" s="7">
        <f>IF(F327="","",F327*G327)</f>
        <v/>
      </c>
      <c r="I327" s="8">
        <f>IF(F327="","",IF(F327&gt;=50,5%,IF(F327&gt;=20,2%,0)))</f>
        <v/>
      </c>
      <c r="J327" s="7">
        <f>IF(H327="","",ROUND(H327*I327,0))</f>
        <v/>
      </c>
      <c r="K327" s="7">
        <f>IF(H327="","",ROUND((H327-J327)*'Danh mục'!$F$3/100,0))</f>
        <v/>
      </c>
      <c r="L327" s="7">
        <f>IF(H327="","",H327-J327+K327)</f>
        <v/>
      </c>
      <c r="M327">
        <f>IF(A327="","",MONTH(A327))</f>
        <v/>
      </c>
    </row>
    <row r="328" spans="1:13">
      <c r="A328" s="6"/>
      <c r="B328" s="4"/>
      <c r="C328" s="4"/>
      <c r="D328" s="4"/>
      <c r="E328">
        <f>IF(D328="","",IFERROR(VLOOKUP(D328,'Danh mục'!$A$4:$C$13,2,FALSE),"Không rõ mã"))</f>
        <v/>
      </c>
      <c r="F328" s="3"/>
      <c r="G328" s="7">
        <f>IF(D328="","",IFERROR(VLOOKUP(D328,'Danh mục'!$A$4:$C$13,3,FALSE),0))</f>
        <v/>
      </c>
      <c r="H328" s="7">
        <f>IF(F328="","",F328*G328)</f>
        <v/>
      </c>
      <c r="I328" s="8">
        <f>IF(F328="","",IF(F328&gt;=50,5%,IF(F328&gt;=20,2%,0)))</f>
        <v/>
      </c>
      <c r="J328" s="7">
        <f>IF(H328="","",ROUND(H328*I328,0))</f>
        <v/>
      </c>
      <c r="K328" s="7">
        <f>IF(H328="","",ROUND((H328-J328)*'Danh mục'!$F$3/100,0))</f>
        <v/>
      </c>
      <c r="L328" s="7">
        <f>IF(H328="","",H328-J328+K328)</f>
        <v/>
      </c>
      <c r="M328">
        <f>IF(A328="","",MONTH(A328))</f>
        <v/>
      </c>
    </row>
    <row r="329" spans="1:13">
      <c r="A329" s="6"/>
      <c r="B329" s="4"/>
      <c r="C329" s="4"/>
      <c r="D329" s="4"/>
      <c r="E329">
        <f>IF(D329="","",IFERROR(VLOOKUP(D329,'Danh mục'!$A$4:$C$13,2,FALSE),"Không rõ mã"))</f>
        <v/>
      </c>
      <c r="F329" s="3"/>
      <c r="G329" s="7">
        <f>IF(D329="","",IFERROR(VLOOKUP(D329,'Danh mục'!$A$4:$C$13,3,FALSE),0))</f>
        <v/>
      </c>
      <c r="H329" s="7">
        <f>IF(F329="","",F329*G329)</f>
        <v/>
      </c>
      <c r="I329" s="8">
        <f>IF(F329="","",IF(F329&gt;=50,5%,IF(F329&gt;=20,2%,0)))</f>
        <v/>
      </c>
      <c r="J329" s="7">
        <f>IF(H329="","",ROUND(H329*I329,0))</f>
        <v/>
      </c>
      <c r="K329" s="7">
        <f>IF(H329="","",ROUND((H329-J329)*'Danh mục'!$F$3/100,0))</f>
        <v/>
      </c>
      <c r="L329" s="7">
        <f>IF(H329="","",H329-J329+K329)</f>
        <v/>
      </c>
      <c r="M329">
        <f>IF(A329="","",MONTH(A329))</f>
        <v/>
      </c>
    </row>
    <row r="330" spans="1:13">
      <c r="A330" s="6"/>
      <c r="B330" s="4"/>
      <c r="C330" s="4"/>
      <c r="D330" s="4"/>
      <c r="E330">
        <f>IF(D330="","",IFERROR(VLOOKUP(D330,'Danh mục'!$A$4:$C$13,2,FALSE),"Không rõ mã"))</f>
        <v/>
      </c>
      <c r="F330" s="3"/>
      <c r="G330" s="7">
        <f>IF(D330="","",IFERROR(VLOOKUP(D330,'Danh mục'!$A$4:$C$13,3,FALSE),0))</f>
        <v/>
      </c>
      <c r="H330" s="7">
        <f>IF(F330="","",F330*G330)</f>
        <v/>
      </c>
      <c r="I330" s="8">
        <f>IF(F330="","",IF(F330&gt;=50,5%,IF(F330&gt;=20,2%,0)))</f>
        <v/>
      </c>
      <c r="J330" s="7">
        <f>IF(H330="","",ROUND(H330*I330,0))</f>
        <v/>
      </c>
      <c r="K330" s="7">
        <f>IF(H330="","",ROUND((H330-J330)*'Danh mục'!$F$3/100,0))</f>
        <v/>
      </c>
      <c r="L330" s="7">
        <f>IF(H330="","",H330-J330+K330)</f>
        <v/>
      </c>
      <c r="M330">
        <f>IF(A330="","",MONTH(A330))</f>
        <v/>
      </c>
    </row>
    <row r="331" spans="1:13">
      <c r="A331" s="6"/>
      <c r="B331" s="4"/>
      <c r="C331" s="4"/>
      <c r="D331" s="4"/>
      <c r="E331">
        <f>IF(D331="","",IFERROR(VLOOKUP(D331,'Danh mục'!$A$4:$C$13,2,FALSE),"Không rõ mã"))</f>
        <v/>
      </c>
      <c r="F331" s="3"/>
      <c r="G331" s="7">
        <f>IF(D331="","",IFERROR(VLOOKUP(D331,'Danh mục'!$A$4:$C$13,3,FALSE),0))</f>
        <v/>
      </c>
      <c r="H331" s="7">
        <f>IF(F331="","",F331*G331)</f>
        <v/>
      </c>
      <c r="I331" s="8">
        <f>IF(F331="","",IF(F331&gt;=50,5%,IF(F331&gt;=20,2%,0)))</f>
        <v/>
      </c>
      <c r="J331" s="7">
        <f>IF(H331="","",ROUND(H331*I331,0))</f>
        <v/>
      </c>
      <c r="K331" s="7">
        <f>IF(H331="","",ROUND((H331-J331)*'Danh mục'!$F$3/100,0))</f>
        <v/>
      </c>
      <c r="L331" s="7">
        <f>IF(H331="","",H331-J331+K331)</f>
        <v/>
      </c>
      <c r="M331">
        <f>IF(A331="","",MONTH(A331))</f>
        <v/>
      </c>
    </row>
    <row r="332" spans="1:13">
      <c r="A332" s="6"/>
      <c r="B332" s="4"/>
      <c r="C332" s="4"/>
      <c r="D332" s="4"/>
      <c r="E332">
        <f>IF(D332="","",IFERROR(VLOOKUP(D332,'Danh mục'!$A$4:$C$13,2,FALSE),"Không rõ mã"))</f>
        <v/>
      </c>
      <c r="F332" s="3"/>
      <c r="G332" s="7">
        <f>IF(D332="","",IFERROR(VLOOKUP(D332,'Danh mục'!$A$4:$C$13,3,FALSE),0))</f>
        <v/>
      </c>
      <c r="H332" s="7">
        <f>IF(F332="","",F332*G332)</f>
        <v/>
      </c>
      <c r="I332" s="8">
        <f>IF(F332="","",IF(F332&gt;=50,5%,IF(F332&gt;=20,2%,0)))</f>
        <v/>
      </c>
      <c r="J332" s="7">
        <f>IF(H332="","",ROUND(H332*I332,0))</f>
        <v/>
      </c>
      <c r="K332" s="7">
        <f>IF(H332="","",ROUND((H332-J332)*'Danh mục'!$F$3/100,0))</f>
        <v/>
      </c>
      <c r="L332" s="7">
        <f>IF(H332="","",H332-J332+K332)</f>
        <v/>
      </c>
      <c r="M332">
        <f>IF(A332="","",MONTH(A332))</f>
        <v/>
      </c>
    </row>
    <row r="333" spans="1:13">
      <c r="A333" s="6"/>
      <c r="B333" s="4"/>
      <c r="C333" s="4"/>
      <c r="D333" s="4"/>
      <c r="E333">
        <f>IF(D333="","",IFERROR(VLOOKUP(D333,'Danh mục'!$A$4:$C$13,2,FALSE),"Không rõ mã"))</f>
        <v/>
      </c>
      <c r="F333" s="3"/>
      <c r="G333" s="7">
        <f>IF(D333="","",IFERROR(VLOOKUP(D333,'Danh mục'!$A$4:$C$13,3,FALSE),0))</f>
        <v/>
      </c>
      <c r="H333" s="7">
        <f>IF(F333="","",F333*G333)</f>
        <v/>
      </c>
      <c r="I333" s="8">
        <f>IF(F333="","",IF(F333&gt;=50,5%,IF(F333&gt;=20,2%,0)))</f>
        <v/>
      </c>
      <c r="J333" s="7">
        <f>IF(H333="","",ROUND(H333*I333,0))</f>
        <v/>
      </c>
      <c r="K333" s="7">
        <f>IF(H333="","",ROUND((H333-J333)*'Danh mục'!$F$3/100,0))</f>
        <v/>
      </c>
      <c r="L333" s="7">
        <f>IF(H333="","",H333-J333+K333)</f>
        <v/>
      </c>
      <c r="M333">
        <f>IF(A333="","",MONTH(A333))</f>
        <v/>
      </c>
    </row>
    <row r="334" spans="1:13">
      <c r="A334" s="6"/>
      <c r="B334" s="4"/>
      <c r="C334" s="4"/>
      <c r="D334" s="4"/>
      <c r="E334">
        <f>IF(D334="","",IFERROR(VLOOKUP(D334,'Danh mục'!$A$4:$C$13,2,FALSE),"Không rõ mã"))</f>
        <v/>
      </c>
      <c r="F334" s="3"/>
      <c r="G334" s="7">
        <f>IF(D334="","",IFERROR(VLOOKUP(D334,'Danh mục'!$A$4:$C$13,3,FALSE),0))</f>
        <v/>
      </c>
      <c r="H334" s="7">
        <f>IF(F334="","",F334*G334)</f>
        <v/>
      </c>
      <c r="I334" s="8">
        <f>IF(F334="","",IF(F334&gt;=50,5%,IF(F334&gt;=20,2%,0)))</f>
        <v/>
      </c>
      <c r="J334" s="7">
        <f>IF(H334="","",ROUND(H334*I334,0))</f>
        <v/>
      </c>
      <c r="K334" s="7">
        <f>IF(H334="","",ROUND((H334-J334)*'Danh mục'!$F$3/100,0))</f>
        <v/>
      </c>
      <c r="L334" s="7">
        <f>IF(H334="","",H334-J334+K334)</f>
        <v/>
      </c>
      <c r="M334">
        <f>IF(A334="","",MONTH(A334))</f>
        <v/>
      </c>
    </row>
    <row r="335" spans="1:13">
      <c r="A335" s="6"/>
      <c r="B335" s="4"/>
      <c r="C335" s="4"/>
      <c r="D335" s="4"/>
      <c r="E335">
        <f>IF(D335="","",IFERROR(VLOOKUP(D335,'Danh mục'!$A$4:$C$13,2,FALSE),"Không rõ mã"))</f>
        <v/>
      </c>
      <c r="F335" s="3"/>
      <c r="G335" s="7">
        <f>IF(D335="","",IFERROR(VLOOKUP(D335,'Danh mục'!$A$4:$C$13,3,FALSE),0))</f>
        <v/>
      </c>
      <c r="H335" s="7">
        <f>IF(F335="","",F335*G335)</f>
        <v/>
      </c>
      <c r="I335" s="8">
        <f>IF(F335="","",IF(F335&gt;=50,5%,IF(F335&gt;=20,2%,0)))</f>
        <v/>
      </c>
      <c r="J335" s="7">
        <f>IF(H335="","",ROUND(H335*I335,0))</f>
        <v/>
      </c>
      <c r="K335" s="7">
        <f>IF(H335="","",ROUND((H335-J335)*'Danh mục'!$F$3/100,0))</f>
        <v/>
      </c>
      <c r="L335" s="7">
        <f>IF(H335="","",H335-J335+K335)</f>
        <v/>
      </c>
      <c r="M335">
        <f>IF(A335="","",MONTH(A335))</f>
        <v/>
      </c>
    </row>
    <row r="336" spans="1:13">
      <c r="A336" s="6"/>
      <c r="B336" s="4"/>
      <c r="C336" s="4"/>
      <c r="D336" s="4"/>
      <c r="E336">
        <f>IF(D336="","",IFERROR(VLOOKUP(D336,'Danh mục'!$A$4:$C$13,2,FALSE),"Không rõ mã"))</f>
        <v/>
      </c>
      <c r="F336" s="3"/>
      <c r="G336" s="7">
        <f>IF(D336="","",IFERROR(VLOOKUP(D336,'Danh mục'!$A$4:$C$13,3,FALSE),0))</f>
        <v/>
      </c>
      <c r="H336" s="7">
        <f>IF(F336="","",F336*G336)</f>
        <v/>
      </c>
      <c r="I336" s="8">
        <f>IF(F336="","",IF(F336&gt;=50,5%,IF(F336&gt;=20,2%,0)))</f>
        <v/>
      </c>
      <c r="J336" s="7">
        <f>IF(H336="","",ROUND(H336*I336,0))</f>
        <v/>
      </c>
      <c r="K336" s="7">
        <f>IF(H336="","",ROUND((H336-J336)*'Danh mục'!$F$3/100,0))</f>
        <v/>
      </c>
      <c r="L336" s="7">
        <f>IF(H336="","",H336-J336+K336)</f>
        <v/>
      </c>
      <c r="M336">
        <f>IF(A336="","",MONTH(A336))</f>
        <v/>
      </c>
    </row>
    <row r="337" spans="1:13">
      <c r="A337" s="6"/>
      <c r="B337" s="4"/>
      <c r="C337" s="4"/>
      <c r="D337" s="4"/>
      <c r="E337">
        <f>IF(D337="","",IFERROR(VLOOKUP(D337,'Danh mục'!$A$4:$C$13,2,FALSE),"Không rõ mã"))</f>
        <v/>
      </c>
      <c r="F337" s="3"/>
      <c r="G337" s="7">
        <f>IF(D337="","",IFERROR(VLOOKUP(D337,'Danh mục'!$A$4:$C$13,3,FALSE),0))</f>
        <v/>
      </c>
      <c r="H337" s="7">
        <f>IF(F337="","",F337*G337)</f>
        <v/>
      </c>
      <c r="I337" s="8">
        <f>IF(F337="","",IF(F337&gt;=50,5%,IF(F337&gt;=20,2%,0)))</f>
        <v/>
      </c>
      <c r="J337" s="7">
        <f>IF(H337="","",ROUND(H337*I337,0))</f>
        <v/>
      </c>
      <c r="K337" s="7">
        <f>IF(H337="","",ROUND((H337-J337)*'Danh mục'!$F$3/100,0))</f>
        <v/>
      </c>
      <c r="L337" s="7">
        <f>IF(H337="","",H337-J337+K337)</f>
        <v/>
      </c>
      <c r="M337">
        <f>IF(A337="","",MONTH(A337))</f>
        <v/>
      </c>
    </row>
    <row r="338" spans="1:13">
      <c r="A338" s="6"/>
      <c r="B338" s="4"/>
      <c r="C338" s="4"/>
      <c r="D338" s="4"/>
      <c r="E338">
        <f>IF(D338="","",IFERROR(VLOOKUP(D338,'Danh mục'!$A$4:$C$13,2,FALSE),"Không rõ mã"))</f>
        <v/>
      </c>
      <c r="F338" s="3"/>
      <c r="G338" s="7">
        <f>IF(D338="","",IFERROR(VLOOKUP(D338,'Danh mục'!$A$4:$C$13,3,FALSE),0))</f>
        <v/>
      </c>
      <c r="H338" s="7">
        <f>IF(F338="","",F338*G338)</f>
        <v/>
      </c>
      <c r="I338" s="8">
        <f>IF(F338="","",IF(F338&gt;=50,5%,IF(F338&gt;=20,2%,0)))</f>
        <v/>
      </c>
      <c r="J338" s="7">
        <f>IF(H338="","",ROUND(H338*I338,0))</f>
        <v/>
      </c>
      <c r="K338" s="7">
        <f>IF(H338="","",ROUND((H338-J338)*'Danh mục'!$F$3/100,0))</f>
        <v/>
      </c>
      <c r="L338" s="7">
        <f>IF(H338="","",H338-J338+K338)</f>
        <v/>
      </c>
      <c r="M338">
        <f>IF(A338="","",MONTH(A338))</f>
        <v/>
      </c>
    </row>
    <row r="339" spans="1:13">
      <c r="A339" s="6"/>
      <c r="B339" s="4"/>
      <c r="C339" s="4"/>
      <c r="D339" s="4"/>
      <c r="E339">
        <f>IF(D339="","",IFERROR(VLOOKUP(D339,'Danh mục'!$A$4:$C$13,2,FALSE),"Không rõ mã"))</f>
        <v/>
      </c>
      <c r="F339" s="3"/>
      <c r="G339" s="7">
        <f>IF(D339="","",IFERROR(VLOOKUP(D339,'Danh mục'!$A$4:$C$13,3,FALSE),0))</f>
        <v/>
      </c>
      <c r="H339" s="7">
        <f>IF(F339="","",F339*G339)</f>
        <v/>
      </c>
      <c r="I339" s="8">
        <f>IF(F339="","",IF(F339&gt;=50,5%,IF(F339&gt;=20,2%,0)))</f>
        <v/>
      </c>
      <c r="J339" s="7">
        <f>IF(H339="","",ROUND(H339*I339,0))</f>
        <v/>
      </c>
      <c r="K339" s="7">
        <f>IF(H339="","",ROUND((H339-J339)*'Danh mục'!$F$3/100,0))</f>
        <v/>
      </c>
      <c r="L339" s="7">
        <f>IF(H339="","",H339-J339+K339)</f>
        <v/>
      </c>
      <c r="M339">
        <f>IF(A339="","",MONTH(A339))</f>
        <v/>
      </c>
    </row>
    <row r="340" spans="1:13">
      <c r="A340" s="6"/>
      <c r="B340" s="4"/>
      <c r="C340" s="4"/>
      <c r="D340" s="4"/>
      <c r="E340">
        <f>IF(D340="","",IFERROR(VLOOKUP(D340,'Danh mục'!$A$4:$C$13,2,FALSE),"Không rõ mã"))</f>
        <v/>
      </c>
      <c r="F340" s="3"/>
      <c r="G340" s="7">
        <f>IF(D340="","",IFERROR(VLOOKUP(D340,'Danh mục'!$A$4:$C$13,3,FALSE),0))</f>
        <v/>
      </c>
      <c r="H340" s="7">
        <f>IF(F340="","",F340*G340)</f>
        <v/>
      </c>
      <c r="I340" s="8">
        <f>IF(F340="","",IF(F340&gt;=50,5%,IF(F340&gt;=20,2%,0)))</f>
        <v/>
      </c>
      <c r="J340" s="7">
        <f>IF(H340="","",ROUND(H340*I340,0))</f>
        <v/>
      </c>
      <c r="K340" s="7">
        <f>IF(H340="","",ROUND((H340-J340)*'Danh mục'!$F$3/100,0))</f>
        <v/>
      </c>
      <c r="L340" s="7">
        <f>IF(H340="","",H340-J340+K340)</f>
        <v/>
      </c>
      <c r="M340">
        <f>IF(A340="","",MONTH(A340))</f>
        <v/>
      </c>
    </row>
    <row r="341" spans="1:13">
      <c r="A341" s="6"/>
      <c r="B341" s="4"/>
      <c r="C341" s="4"/>
      <c r="D341" s="4"/>
      <c r="E341">
        <f>IF(D341="","",IFERROR(VLOOKUP(D341,'Danh mục'!$A$4:$C$13,2,FALSE),"Không rõ mã"))</f>
        <v/>
      </c>
      <c r="F341" s="3"/>
      <c r="G341" s="7">
        <f>IF(D341="","",IFERROR(VLOOKUP(D341,'Danh mục'!$A$4:$C$13,3,FALSE),0))</f>
        <v/>
      </c>
      <c r="H341" s="7">
        <f>IF(F341="","",F341*G341)</f>
        <v/>
      </c>
      <c r="I341" s="8">
        <f>IF(F341="","",IF(F341&gt;=50,5%,IF(F341&gt;=20,2%,0)))</f>
        <v/>
      </c>
      <c r="J341" s="7">
        <f>IF(H341="","",ROUND(H341*I341,0))</f>
        <v/>
      </c>
      <c r="K341" s="7">
        <f>IF(H341="","",ROUND((H341-J341)*'Danh mục'!$F$3/100,0))</f>
        <v/>
      </c>
      <c r="L341" s="7">
        <f>IF(H341="","",H341-J341+K341)</f>
        <v/>
      </c>
      <c r="M341">
        <f>IF(A341="","",MONTH(A341))</f>
        <v/>
      </c>
    </row>
    <row r="342" spans="1:13">
      <c r="A342" s="6"/>
      <c r="B342" s="4"/>
      <c r="C342" s="4"/>
      <c r="D342" s="4"/>
      <c r="E342">
        <f>IF(D342="","",IFERROR(VLOOKUP(D342,'Danh mục'!$A$4:$C$13,2,FALSE),"Không rõ mã"))</f>
        <v/>
      </c>
      <c r="F342" s="3"/>
      <c r="G342" s="7">
        <f>IF(D342="","",IFERROR(VLOOKUP(D342,'Danh mục'!$A$4:$C$13,3,FALSE),0))</f>
        <v/>
      </c>
      <c r="H342" s="7">
        <f>IF(F342="","",F342*G342)</f>
        <v/>
      </c>
      <c r="I342" s="8">
        <f>IF(F342="","",IF(F342&gt;=50,5%,IF(F342&gt;=20,2%,0)))</f>
        <v/>
      </c>
      <c r="J342" s="7">
        <f>IF(H342="","",ROUND(H342*I342,0))</f>
        <v/>
      </c>
      <c r="K342" s="7">
        <f>IF(H342="","",ROUND((H342-J342)*'Danh mục'!$F$3/100,0))</f>
        <v/>
      </c>
      <c r="L342" s="7">
        <f>IF(H342="","",H342-J342+K342)</f>
        <v/>
      </c>
      <c r="M342">
        <f>IF(A342="","",MONTH(A342))</f>
        <v/>
      </c>
    </row>
    <row r="343" spans="1:13">
      <c r="A343" s="6"/>
      <c r="B343" s="4"/>
      <c r="C343" s="4"/>
      <c r="D343" s="4"/>
      <c r="E343">
        <f>IF(D343="","",IFERROR(VLOOKUP(D343,'Danh mục'!$A$4:$C$13,2,FALSE),"Không rõ mã"))</f>
        <v/>
      </c>
      <c r="F343" s="3"/>
      <c r="G343" s="7">
        <f>IF(D343="","",IFERROR(VLOOKUP(D343,'Danh mục'!$A$4:$C$13,3,FALSE),0))</f>
        <v/>
      </c>
      <c r="H343" s="7">
        <f>IF(F343="","",F343*G343)</f>
        <v/>
      </c>
      <c r="I343" s="8">
        <f>IF(F343="","",IF(F343&gt;=50,5%,IF(F343&gt;=20,2%,0)))</f>
        <v/>
      </c>
      <c r="J343" s="7">
        <f>IF(H343="","",ROUND(H343*I343,0))</f>
        <v/>
      </c>
      <c r="K343" s="7">
        <f>IF(H343="","",ROUND((H343-J343)*'Danh mục'!$F$3/100,0))</f>
        <v/>
      </c>
      <c r="L343" s="7">
        <f>IF(H343="","",H343-J343+K343)</f>
        <v/>
      </c>
      <c r="M343">
        <f>IF(A343="","",MONTH(A343))</f>
        <v/>
      </c>
    </row>
    <row r="344" spans="1:13">
      <c r="A344" s="6"/>
      <c r="B344" s="4"/>
      <c r="C344" s="4"/>
      <c r="D344" s="4"/>
      <c r="E344">
        <f>IF(D344="","",IFERROR(VLOOKUP(D344,'Danh mục'!$A$4:$C$13,2,FALSE),"Không rõ mã"))</f>
        <v/>
      </c>
      <c r="F344" s="3"/>
      <c r="G344" s="7">
        <f>IF(D344="","",IFERROR(VLOOKUP(D344,'Danh mục'!$A$4:$C$13,3,FALSE),0))</f>
        <v/>
      </c>
      <c r="H344" s="7">
        <f>IF(F344="","",F344*G344)</f>
        <v/>
      </c>
      <c r="I344" s="8">
        <f>IF(F344="","",IF(F344&gt;=50,5%,IF(F344&gt;=20,2%,0)))</f>
        <v/>
      </c>
      <c r="J344" s="7">
        <f>IF(H344="","",ROUND(H344*I344,0))</f>
        <v/>
      </c>
      <c r="K344" s="7">
        <f>IF(H344="","",ROUND((H344-J344)*'Danh mục'!$F$3/100,0))</f>
        <v/>
      </c>
      <c r="L344" s="7">
        <f>IF(H344="","",H344-J344+K344)</f>
        <v/>
      </c>
      <c r="M344">
        <f>IF(A344="","",MONTH(A344))</f>
        <v/>
      </c>
    </row>
    <row r="345" spans="1:13">
      <c r="A345" s="6"/>
      <c r="B345" s="4"/>
      <c r="C345" s="4"/>
      <c r="D345" s="4"/>
      <c r="E345">
        <f>IF(D345="","",IFERROR(VLOOKUP(D345,'Danh mục'!$A$4:$C$13,2,FALSE),"Không rõ mã"))</f>
        <v/>
      </c>
      <c r="F345" s="3"/>
      <c r="G345" s="7">
        <f>IF(D345="","",IFERROR(VLOOKUP(D345,'Danh mục'!$A$4:$C$13,3,FALSE),0))</f>
        <v/>
      </c>
      <c r="H345" s="7">
        <f>IF(F345="","",F345*G345)</f>
        <v/>
      </c>
      <c r="I345" s="8">
        <f>IF(F345="","",IF(F345&gt;=50,5%,IF(F345&gt;=20,2%,0)))</f>
        <v/>
      </c>
      <c r="J345" s="7">
        <f>IF(H345="","",ROUND(H345*I345,0))</f>
        <v/>
      </c>
      <c r="K345" s="7">
        <f>IF(H345="","",ROUND((H345-J345)*'Danh mục'!$F$3/100,0))</f>
        <v/>
      </c>
      <c r="L345" s="7">
        <f>IF(H345="","",H345-J345+K345)</f>
        <v/>
      </c>
      <c r="M345">
        <f>IF(A345="","",MONTH(A345))</f>
        <v/>
      </c>
    </row>
    <row r="346" spans="1:13">
      <c r="A346" s="6"/>
      <c r="B346" s="4"/>
      <c r="C346" s="4"/>
      <c r="D346" s="4"/>
      <c r="E346">
        <f>IF(D346="","",IFERROR(VLOOKUP(D346,'Danh mục'!$A$4:$C$13,2,FALSE),"Không rõ mã"))</f>
        <v/>
      </c>
      <c r="F346" s="3"/>
      <c r="G346" s="7">
        <f>IF(D346="","",IFERROR(VLOOKUP(D346,'Danh mục'!$A$4:$C$13,3,FALSE),0))</f>
        <v/>
      </c>
      <c r="H346" s="7">
        <f>IF(F346="","",F346*G346)</f>
        <v/>
      </c>
      <c r="I346" s="8">
        <f>IF(F346="","",IF(F346&gt;=50,5%,IF(F346&gt;=20,2%,0)))</f>
        <v/>
      </c>
      <c r="J346" s="7">
        <f>IF(H346="","",ROUND(H346*I346,0))</f>
        <v/>
      </c>
      <c r="K346" s="7">
        <f>IF(H346="","",ROUND((H346-J346)*'Danh mục'!$F$3/100,0))</f>
        <v/>
      </c>
      <c r="L346" s="7">
        <f>IF(H346="","",H346-J346+K346)</f>
        <v/>
      </c>
      <c r="M346">
        <f>IF(A346="","",MONTH(A346))</f>
        <v/>
      </c>
    </row>
    <row r="347" spans="1:13">
      <c r="A347" s="6"/>
      <c r="B347" s="4"/>
      <c r="C347" s="4"/>
      <c r="D347" s="4"/>
      <c r="E347">
        <f>IF(D347="","",IFERROR(VLOOKUP(D347,'Danh mục'!$A$4:$C$13,2,FALSE),"Không rõ mã"))</f>
        <v/>
      </c>
      <c r="F347" s="3"/>
      <c r="G347" s="7">
        <f>IF(D347="","",IFERROR(VLOOKUP(D347,'Danh mục'!$A$4:$C$13,3,FALSE),0))</f>
        <v/>
      </c>
      <c r="H347" s="7">
        <f>IF(F347="","",F347*G347)</f>
        <v/>
      </c>
      <c r="I347" s="8">
        <f>IF(F347="","",IF(F347&gt;=50,5%,IF(F347&gt;=20,2%,0)))</f>
        <v/>
      </c>
      <c r="J347" s="7">
        <f>IF(H347="","",ROUND(H347*I347,0))</f>
        <v/>
      </c>
      <c r="K347" s="7">
        <f>IF(H347="","",ROUND((H347-J347)*'Danh mục'!$F$3/100,0))</f>
        <v/>
      </c>
      <c r="L347" s="7">
        <f>IF(H347="","",H347-J347+K347)</f>
        <v/>
      </c>
      <c r="M347">
        <f>IF(A347="","",MONTH(A347))</f>
        <v/>
      </c>
    </row>
    <row r="348" spans="1:13">
      <c r="A348" s="6"/>
      <c r="B348" s="4"/>
      <c r="C348" s="4"/>
      <c r="D348" s="4"/>
      <c r="E348">
        <f>IF(D348="","",IFERROR(VLOOKUP(D348,'Danh mục'!$A$4:$C$13,2,FALSE),"Không rõ mã"))</f>
        <v/>
      </c>
      <c r="F348" s="3"/>
      <c r="G348" s="7">
        <f>IF(D348="","",IFERROR(VLOOKUP(D348,'Danh mục'!$A$4:$C$13,3,FALSE),0))</f>
        <v/>
      </c>
      <c r="H348" s="7">
        <f>IF(F348="","",F348*G348)</f>
        <v/>
      </c>
      <c r="I348" s="8">
        <f>IF(F348="","",IF(F348&gt;=50,5%,IF(F348&gt;=20,2%,0)))</f>
        <v/>
      </c>
      <c r="J348" s="7">
        <f>IF(H348="","",ROUND(H348*I348,0))</f>
        <v/>
      </c>
      <c r="K348" s="7">
        <f>IF(H348="","",ROUND((H348-J348)*'Danh mục'!$F$3/100,0))</f>
        <v/>
      </c>
      <c r="L348" s="7">
        <f>IF(H348="","",H348-J348+K348)</f>
        <v/>
      </c>
      <c r="M348">
        <f>IF(A348="","",MONTH(A348))</f>
        <v/>
      </c>
    </row>
    <row r="349" spans="1:13">
      <c r="A349" s="6"/>
      <c r="B349" s="4"/>
      <c r="C349" s="4"/>
      <c r="D349" s="4"/>
      <c r="E349">
        <f>IF(D349="","",IFERROR(VLOOKUP(D349,'Danh mục'!$A$4:$C$13,2,FALSE),"Không rõ mã"))</f>
        <v/>
      </c>
      <c r="F349" s="3"/>
      <c r="G349" s="7">
        <f>IF(D349="","",IFERROR(VLOOKUP(D349,'Danh mục'!$A$4:$C$13,3,FALSE),0))</f>
        <v/>
      </c>
      <c r="H349" s="7">
        <f>IF(F349="","",F349*G349)</f>
        <v/>
      </c>
      <c r="I349" s="8">
        <f>IF(F349="","",IF(F349&gt;=50,5%,IF(F349&gt;=20,2%,0)))</f>
        <v/>
      </c>
      <c r="J349" s="7">
        <f>IF(H349="","",ROUND(H349*I349,0))</f>
        <v/>
      </c>
      <c r="K349" s="7">
        <f>IF(H349="","",ROUND((H349-J349)*'Danh mục'!$F$3/100,0))</f>
        <v/>
      </c>
      <c r="L349" s="7">
        <f>IF(H349="","",H349-J349+K349)</f>
        <v/>
      </c>
      <c r="M349">
        <f>IF(A349="","",MONTH(A349))</f>
        <v/>
      </c>
    </row>
    <row r="350" spans="1:13">
      <c r="A350" s="6"/>
      <c r="B350" s="4"/>
      <c r="C350" s="4"/>
      <c r="D350" s="4"/>
      <c r="E350">
        <f>IF(D350="","",IFERROR(VLOOKUP(D350,'Danh mục'!$A$4:$C$13,2,FALSE),"Không rõ mã"))</f>
        <v/>
      </c>
      <c r="F350" s="3"/>
      <c r="G350" s="7">
        <f>IF(D350="","",IFERROR(VLOOKUP(D350,'Danh mục'!$A$4:$C$13,3,FALSE),0))</f>
        <v/>
      </c>
      <c r="H350" s="7">
        <f>IF(F350="","",F350*G350)</f>
        <v/>
      </c>
      <c r="I350" s="8">
        <f>IF(F350="","",IF(F350&gt;=50,5%,IF(F350&gt;=20,2%,0)))</f>
        <v/>
      </c>
      <c r="J350" s="7">
        <f>IF(H350="","",ROUND(H350*I350,0))</f>
        <v/>
      </c>
      <c r="K350" s="7">
        <f>IF(H350="","",ROUND((H350-J350)*'Danh mục'!$F$3/100,0))</f>
        <v/>
      </c>
      <c r="L350" s="7">
        <f>IF(H350="","",H350-J350+K350)</f>
        <v/>
      </c>
      <c r="M350">
        <f>IF(A350="","",MONTH(A350))</f>
        <v/>
      </c>
    </row>
    <row r="351" spans="1:13">
      <c r="A351" s="6"/>
      <c r="B351" s="4"/>
      <c r="C351" s="4"/>
      <c r="D351" s="4"/>
      <c r="E351">
        <f>IF(D351="","",IFERROR(VLOOKUP(D351,'Danh mục'!$A$4:$C$13,2,FALSE),"Không rõ mã"))</f>
        <v/>
      </c>
      <c r="F351" s="3"/>
      <c r="G351" s="7">
        <f>IF(D351="","",IFERROR(VLOOKUP(D351,'Danh mục'!$A$4:$C$13,3,FALSE),0))</f>
        <v/>
      </c>
      <c r="H351" s="7">
        <f>IF(F351="","",F351*G351)</f>
        <v/>
      </c>
      <c r="I351" s="8">
        <f>IF(F351="","",IF(F351&gt;=50,5%,IF(F351&gt;=20,2%,0)))</f>
        <v/>
      </c>
      <c r="J351" s="7">
        <f>IF(H351="","",ROUND(H351*I351,0))</f>
        <v/>
      </c>
      <c r="K351" s="7">
        <f>IF(H351="","",ROUND((H351-J351)*'Danh mục'!$F$3/100,0))</f>
        <v/>
      </c>
      <c r="L351" s="7">
        <f>IF(H351="","",H351-J351+K351)</f>
        <v/>
      </c>
      <c r="M351">
        <f>IF(A351="","",MONTH(A351))</f>
        <v/>
      </c>
    </row>
    <row r="352" spans="1:13">
      <c r="A352" s="6"/>
      <c r="B352" s="4"/>
      <c r="C352" s="4"/>
      <c r="D352" s="4"/>
      <c r="E352">
        <f>IF(D352="","",IFERROR(VLOOKUP(D352,'Danh mục'!$A$4:$C$13,2,FALSE),"Không rõ mã"))</f>
        <v/>
      </c>
      <c r="F352" s="3"/>
      <c r="G352" s="7">
        <f>IF(D352="","",IFERROR(VLOOKUP(D352,'Danh mục'!$A$4:$C$13,3,FALSE),0))</f>
        <v/>
      </c>
      <c r="H352" s="7">
        <f>IF(F352="","",F352*G352)</f>
        <v/>
      </c>
      <c r="I352" s="8">
        <f>IF(F352="","",IF(F352&gt;=50,5%,IF(F352&gt;=20,2%,0)))</f>
        <v/>
      </c>
      <c r="J352" s="7">
        <f>IF(H352="","",ROUND(H352*I352,0))</f>
        <v/>
      </c>
      <c r="K352" s="7">
        <f>IF(H352="","",ROUND((H352-J352)*'Danh mục'!$F$3/100,0))</f>
        <v/>
      </c>
      <c r="L352" s="7">
        <f>IF(H352="","",H352-J352+K352)</f>
        <v/>
      </c>
      <c r="M352">
        <f>IF(A352="","",MONTH(A352))</f>
        <v/>
      </c>
    </row>
    <row r="353" spans="1:13">
      <c r="A353" s="6"/>
      <c r="B353" s="4"/>
      <c r="C353" s="4"/>
      <c r="D353" s="4"/>
      <c r="E353">
        <f>IF(D353="","",IFERROR(VLOOKUP(D353,'Danh mục'!$A$4:$C$13,2,FALSE),"Không rõ mã"))</f>
        <v/>
      </c>
      <c r="F353" s="3"/>
      <c r="G353" s="7">
        <f>IF(D353="","",IFERROR(VLOOKUP(D353,'Danh mục'!$A$4:$C$13,3,FALSE),0))</f>
        <v/>
      </c>
      <c r="H353" s="7">
        <f>IF(F353="","",F353*G353)</f>
        <v/>
      </c>
      <c r="I353" s="8">
        <f>IF(F353="","",IF(F353&gt;=50,5%,IF(F353&gt;=20,2%,0)))</f>
        <v/>
      </c>
      <c r="J353" s="7">
        <f>IF(H353="","",ROUND(H353*I353,0))</f>
        <v/>
      </c>
      <c r="K353" s="7">
        <f>IF(H353="","",ROUND((H353-J353)*'Danh mục'!$F$3/100,0))</f>
        <v/>
      </c>
      <c r="L353" s="7">
        <f>IF(H353="","",H353-J353+K353)</f>
        <v/>
      </c>
      <c r="M353">
        <f>IF(A353="","",MONTH(A353))</f>
        <v/>
      </c>
    </row>
    <row r="354" spans="1:13">
      <c r="A354" s="6"/>
      <c r="B354" s="4"/>
      <c r="C354" s="4"/>
      <c r="D354" s="4"/>
      <c r="E354">
        <f>IF(D354="","",IFERROR(VLOOKUP(D354,'Danh mục'!$A$4:$C$13,2,FALSE),"Không rõ mã"))</f>
        <v/>
      </c>
      <c r="F354" s="3"/>
      <c r="G354" s="7">
        <f>IF(D354="","",IFERROR(VLOOKUP(D354,'Danh mục'!$A$4:$C$13,3,FALSE),0))</f>
        <v/>
      </c>
      <c r="H354" s="7">
        <f>IF(F354="","",F354*G354)</f>
        <v/>
      </c>
      <c r="I354" s="8">
        <f>IF(F354="","",IF(F354&gt;=50,5%,IF(F354&gt;=20,2%,0)))</f>
        <v/>
      </c>
      <c r="J354" s="7">
        <f>IF(H354="","",ROUND(H354*I354,0))</f>
        <v/>
      </c>
      <c r="K354" s="7">
        <f>IF(H354="","",ROUND((H354-J354)*'Danh mục'!$F$3/100,0))</f>
        <v/>
      </c>
      <c r="L354" s="7">
        <f>IF(H354="","",H354-J354+K354)</f>
        <v/>
      </c>
      <c r="M354">
        <f>IF(A354="","",MONTH(A354))</f>
        <v/>
      </c>
    </row>
    <row r="355" spans="1:13">
      <c r="A355" s="6"/>
      <c r="B355" s="4"/>
      <c r="C355" s="4"/>
      <c r="D355" s="4"/>
      <c r="E355">
        <f>IF(D355="","",IFERROR(VLOOKUP(D355,'Danh mục'!$A$4:$C$13,2,FALSE),"Không rõ mã"))</f>
        <v/>
      </c>
      <c r="F355" s="3"/>
      <c r="G355" s="7">
        <f>IF(D355="","",IFERROR(VLOOKUP(D355,'Danh mục'!$A$4:$C$13,3,FALSE),0))</f>
        <v/>
      </c>
      <c r="H355" s="7">
        <f>IF(F355="","",F355*G355)</f>
        <v/>
      </c>
      <c r="I355" s="8">
        <f>IF(F355="","",IF(F355&gt;=50,5%,IF(F355&gt;=20,2%,0)))</f>
        <v/>
      </c>
      <c r="J355" s="7">
        <f>IF(H355="","",ROUND(H355*I355,0))</f>
        <v/>
      </c>
      <c r="K355" s="7">
        <f>IF(H355="","",ROUND((H355-J355)*'Danh mục'!$F$3/100,0))</f>
        <v/>
      </c>
      <c r="L355" s="7">
        <f>IF(H355="","",H355-J355+K355)</f>
        <v/>
      </c>
      <c r="M355">
        <f>IF(A355="","",MONTH(A355))</f>
        <v/>
      </c>
    </row>
    <row r="356" spans="1:13">
      <c r="A356" s="6"/>
      <c r="B356" s="4"/>
      <c r="C356" s="4"/>
      <c r="D356" s="4"/>
      <c r="E356">
        <f>IF(D356="","",IFERROR(VLOOKUP(D356,'Danh mục'!$A$4:$C$13,2,FALSE),"Không rõ mã"))</f>
        <v/>
      </c>
      <c r="F356" s="3"/>
      <c r="G356" s="7">
        <f>IF(D356="","",IFERROR(VLOOKUP(D356,'Danh mục'!$A$4:$C$13,3,FALSE),0))</f>
        <v/>
      </c>
      <c r="H356" s="7">
        <f>IF(F356="","",F356*G356)</f>
        <v/>
      </c>
      <c r="I356" s="8">
        <f>IF(F356="","",IF(F356&gt;=50,5%,IF(F356&gt;=20,2%,0)))</f>
        <v/>
      </c>
      <c r="J356" s="7">
        <f>IF(H356="","",ROUND(H356*I356,0))</f>
        <v/>
      </c>
      <c r="K356" s="7">
        <f>IF(H356="","",ROUND((H356-J356)*'Danh mục'!$F$3/100,0))</f>
        <v/>
      </c>
      <c r="L356" s="7">
        <f>IF(H356="","",H356-J356+K356)</f>
        <v/>
      </c>
      <c r="M356">
        <f>IF(A356="","",MONTH(A356))</f>
        <v/>
      </c>
    </row>
    <row r="357" spans="1:13">
      <c r="A357" s="6"/>
      <c r="B357" s="4"/>
      <c r="C357" s="4"/>
      <c r="D357" s="4"/>
      <c r="E357">
        <f>IF(D357="","",IFERROR(VLOOKUP(D357,'Danh mục'!$A$4:$C$13,2,FALSE),"Không rõ mã"))</f>
        <v/>
      </c>
      <c r="F357" s="3"/>
      <c r="G357" s="7">
        <f>IF(D357="","",IFERROR(VLOOKUP(D357,'Danh mục'!$A$4:$C$13,3,FALSE),0))</f>
        <v/>
      </c>
      <c r="H357" s="7">
        <f>IF(F357="","",F357*G357)</f>
        <v/>
      </c>
      <c r="I357" s="8">
        <f>IF(F357="","",IF(F357&gt;=50,5%,IF(F357&gt;=20,2%,0)))</f>
        <v/>
      </c>
      <c r="J357" s="7">
        <f>IF(H357="","",ROUND(H357*I357,0))</f>
        <v/>
      </c>
      <c r="K357" s="7">
        <f>IF(H357="","",ROUND((H357-J357)*'Danh mục'!$F$3/100,0))</f>
        <v/>
      </c>
      <c r="L357" s="7">
        <f>IF(H357="","",H357-J357+K357)</f>
        <v/>
      </c>
      <c r="M357">
        <f>IF(A357="","",MONTH(A357))</f>
        <v/>
      </c>
    </row>
    <row r="358" spans="1:13">
      <c r="A358" s="6"/>
      <c r="B358" s="4"/>
      <c r="C358" s="4"/>
      <c r="D358" s="4"/>
      <c r="E358">
        <f>IF(D358="","",IFERROR(VLOOKUP(D358,'Danh mục'!$A$4:$C$13,2,FALSE),"Không rõ mã"))</f>
        <v/>
      </c>
      <c r="F358" s="3"/>
      <c r="G358" s="7">
        <f>IF(D358="","",IFERROR(VLOOKUP(D358,'Danh mục'!$A$4:$C$13,3,FALSE),0))</f>
        <v/>
      </c>
      <c r="H358" s="7">
        <f>IF(F358="","",F358*G358)</f>
        <v/>
      </c>
      <c r="I358" s="8">
        <f>IF(F358="","",IF(F358&gt;=50,5%,IF(F358&gt;=20,2%,0)))</f>
        <v/>
      </c>
      <c r="J358" s="7">
        <f>IF(H358="","",ROUND(H358*I358,0))</f>
        <v/>
      </c>
      <c r="K358" s="7">
        <f>IF(H358="","",ROUND((H358-J358)*'Danh mục'!$F$3/100,0))</f>
        <v/>
      </c>
      <c r="L358" s="7">
        <f>IF(H358="","",H358-J358+K358)</f>
        <v/>
      </c>
      <c r="M358">
        <f>IF(A358="","",MONTH(A358))</f>
        <v/>
      </c>
    </row>
    <row r="359" spans="1:13">
      <c r="A359" s="6"/>
      <c r="B359" s="4"/>
      <c r="C359" s="4"/>
      <c r="D359" s="4"/>
      <c r="E359">
        <f>IF(D359="","",IFERROR(VLOOKUP(D359,'Danh mục'!$A$4:$C$13,2,FALSE),"Không rõ mã"))</f>
        <v/>
      </c>
      <c r="F359" s="3"/>
      <c r="G359" s="7">
        <f>IF(D359="","",IFERROR(VLOOKUP(D359,'Danh mục'!$A$4:$C$13,3,FALSE),0))</f>
        <v/>
      </c>
      <c r="H359" s="7">
        <f>IF(F359="","",F359*G359)</f>
        <v/>
      </c>
      <c r="I359" s="8">
        <f>IF(F359="","",IF(F359&gt;=50,5%,IF(F359&gt;=20,2%,0)))</f>
        <v/>
      </c>
      <c r="J359" s="7">
        <f>IF(H359="","",ROUND(H359*I359,0))</f>
        <v/>
      </c>
      <c r="K359" s="7">
        <f>IF(H359="","",ROUND((H359-J359)*'Danh mục'!$F$3/100,0))</f>
        <v/>
      </c>
      <c r="L359" s="7">
        <f>IF(H359="","",H359-J359+K359)</f>
        <v/>
      </c>
      <c r="M359">
        <f>IF(A359="","",MONTH(A359))</f>
        <v/>
      </c>
    </row>
    <row r="360" spans="1:13">
      <c r="A360" s="6"/>
      <c r="B360" s="4"/>
      <c r="C360" s="4"/>
      <c r="D360" s="4"/>
      <c r="E360">
        <f>IF(D360="","",IFERROR(VLOOKUP(D360,'Danh mục'!$A$4:$C$13,2,FALSE),"Không rõ mã"))</f>
        <v/>
      </c>
      <c r="F360" s="3"/>
      <c r="G360" s="7">
        <f>IF(D360="","",IFERROR(VLOOKUP(D360,'Danh mục'!$A$4:$C$13,3,FALSE),0))</f>
        <v/>
      </c>
      <c r="H360" s="7">
        <f>IF(F360="","",F360*G360)</f>
        <v/>
      </c>
      <c r="I360" s="8">
        <f>IF(F360="","",IF(F360&gt;=50,5%,IF(F360&gt;=20,2%,0)))</f>
        <v/>
      </c>
      <c r="J360" s="7">
        <f>IF(H360="","",ROUND(H360*I360,0))</f>
        <v/>
      </c>
      <c r="K360" s="7">
        <f>IF(H360="","",ROUND((H360-J360)*'Danh mục'!$F$3/100,0))</f>
        <v/>
      </c>
      <c r="L360" s="7">
        <f>IF(H360="","",H360-J360+K360)</f>
        <v/>
      </c>
      <c r="M360">
        <f>IF(A360="","",MONTH(A360))</f>
        <v/>
      </c>
    </row>
    <row r="361" spans="1:13">
      <c r="A361" s="6"/>
      <c r="B361" s="4"/>
      <c r="C361" s="4"/>
      <c r="D361" s="4"/>
      <c r="E361">
        <f>IF(D361="","",IFERROR(VLOOKUP(D361,'Danh mục'!$A$4:$C$13,2,FALSE),"Không rõ mã"))</f>
        <v/>
      </c>
      <c r="F361" s="3"/>
      <c r="G361" s="7">
        <f>IF(D361="","",IFERROR(VLOOKUP(D361,'Danh mục'!$A$4:$C$13,3,FALSE),0))</f>
        <v/>
      </c>
      <c r="H361" s="7">
        <f>IF(F361="","",F361*G361)</f>
        <v/>
      </c>
      <c r="I361" s="8">
        <f>IF(F361="","",IF(F361&gt;=50,5%,IF(F361&gt;=20,2%,0)))</f>
        <v/>
      </c>
      <c r="J361" s="7">
        <f>IF(H361="","",ROUND(H361*I361,0))</f>
        <v/>
      </c>
      <c r="K361" s="7">
        <f>IF(H361="","",ROUND((H361-J361)*'Danh mục'!$F$3/100,0))</f>
        <v/>
      </c>
      <c r="L361" s="7">
        <f>IF(H361="","",H361-J361+K361)</f>
        <v/>
      </c>
      <c r="M361">
        <f>IF(A361="","",MONTH(A361))</f>
        <v/>
      </c>
    </row>
    <row r="362" spans="1:13">
      <c r="A362" s="6"/>
      <c r="B362" s="4"/>
      <c r="C362" s="4"/>
      <c r="D362" s="4"/>
      <c r="E362">
        <f>IF(D362="","",IFERROR(VLOOKUP(D362,'Danh mục'!$A$4:$C$13,2,FALSE),"Không rõ mã"))</f>
        <v/>
      </c>
      <c r="F362" s="3"/>
      <c r="G362" s="7">
        <f>IF(D362="","",IFERROR(VLOOKUP(D362,'Danh mục'!$A$4:$C$13,3,FALSE),0))</f>
        <v/>
      </c>
      <c r="H362" s="7">
        <f>IF(F362="","",F362*G362)</f>
        <v/>
      </c>
      <c r="I362" s="8">
        <f>IF(F362="","",IF(F362&gt;=50,5%,IF(F362&gt;=20,2%,0)))</f>
        <v/>
      </c>
      <c r="J362" s="7">
        <f>IF(H362="","",ROUND(H362*I362,0))</f>
        <v/>
      </c>
      <c r="K362" s="7">
        <f>IF(H362="","",ROUND((H362-J362)*'Danh mục'!$F$3/100,0))</f>
        <v/>
      </c>
      <c r="L362" s="7">
        <f>IF(H362="","",H362-J362+K362)</f>
        <v/>
      </c>
      <c r="M362">
        <f>IF(A362="","",MONTH(A362))</f>
        <v/>
      </c>
    </row>
    <row r="363" spans="1:13">
      <c r="A363" s="6"/>
      <c r="B363" s="4"/>
      <c r="C363" s="4"/>
      <c r="D363" s="4"/>
      <c r="E363">
        <f>IF(D363="","",IFERROR(VLOOKUP(D363,'Danh mục'!$A$4:$C$13,2,FALSE),"Không rõ mã"))</f>
        <v/>
      </c>
      <c r="F363" s="3"/>
      <c r="G363" s="7">
        <f>IF(D363="","",IFERROR(VLOOKUP(D363,'Danh mục'!$A$4:$C$13,3,FALSE),0))</f>
        <v/>
      </c>
      <c r="H363" s="7">
        <f>IF(F363="","",F363*G363)</f>
        <v/>
      </c>
      <c r="I363" s="8">
        <f>IF(F363="","",IF(F363&gt;=50,5%,IF(F363&gt;=20,2%,0)))</f>
        <v/>
      </c>
      <c r="J363" s="7">
        <f>IF(H363="","",ROUND(H363*I363,0))</f>
        <v/>
      </c>
      <c r="K363" s="7">
        <f>IF(H363="","",ROUND((H363-J363)*'Danh mục'!$F$3/100,0))</f>
        <v/>
      </c>
      <c r="L363" s="7">
        <f>IF(H363="","",H363-J363+K363)</f>
        <v/>
      </c>
      <c r="M363">
        <f>IF(A363="","",MONTH(A363))</f>
        <v/>
      </c>
    </row>
    <row r="364" spans="1:13">
      <c r="A364" s="6"/>
      <c r="B364" s="4"/>
      <c r="C364" s="4"/>
      <c r="D364" s="4"/>
      <c r="E364">
        <f>IF(D364="","",IFERROR(VLOOKUP(D364,'Danh mục'!$A$4:$C$13,2,FALSE),"Không rõ mã"))</f>
        <v/>
      </c>
      <c r="F364" s="3"/>
      <c r="G364" s="7">
        <f>IF(D364="","",IFERROR(VLOOKUP(D364,'Danh mục'!$A$4:$C$13,3,FALSE),0))</f>
        <v/>
      </c>
      <c r="H364" s="7">
        <f>IF(F364="","",F364*G364)</f>
        <v/>
      </c>
      <c r="I364" s="8">
        <f>IF(F364="","",IF(F364&gt;=50,5%,IF(F364&gt;=20,2%,0)))</f>
        <v/>
      </c>
      <c r="J364" s="7">
        <f>IF(H364="","",ROUND(H364*I364,0))</f>
        <v/>
      </c>
      <c r="K364" s="7">
        <f>IF(H364="","",ROUND((H364-J364)*'Danh mục'!$F$3/100,0))</f>
        <v/>
      </c>
      <c r="L364" s="7">
        <f>IF(H364="","",H364-J364+K364)</f>
        <v/>
      </c>
      <c r="M364">
        <f>IF(A364="","",MONTH(A364))</f>
        <v/>
      </c>
    </row>
    <row r="365" spans="1:13">
      <c r="A365" s="6"/>
      <c r="B365" s="4"/>
      <c r="C365" s="4"/>
      <c r="D365" s="4"/>
      <c r="E365">
        <f>IF(D365="","",IFERROR(VLOOKUP(D365,'Danh mục'!$A$4:$C$13,2,FALSE),"Không rõ mã"))</f>
        <v/>
      </c>
      <c r="F365" s="3"/>
      <c r="G365" s="7">
        <f>IF(D365="","",IFERROR(VLOOKUP(D365,'Danh mục'!$A$4:$C$13,3,FALSE),0))</f>
        <v/>
      </c>
      <c r="H365" s="7">
        <f>IF(F365="","",F365*G365)</f>
        <v/>
      </c>
      <c r="I365" s="8">
        <f>IF(F365="","",IF(F365&gt;=50,5%,IF(F365&gt;=20,2%,0)))</f>
        <v/>
      </c>
      <c r="J365" s="7">
        <f>IF(H365="","",ROUND(H365*I365,0))</f>
        <v/>
      </c>
      <c r="K365" s="7">
        <f>IF(H365="","",ROUND((H365-J365)*'Danh mục'!$F$3/100,0))</f>
        <v/>
      </c>
      <c r="L365" s="7">
        <f>IF(H365="","",H365-J365+K365)</f>
        <v/>
      </c>
      <c r="M365">
        <f>IF(A365="","",MONTH(A365))</f>
        <v/>
      </c>
    </row>
    <row r="366" spans="1:13">
      <c r="A366" s="6"/>
      <c r="B366" s="4"/>
      <c r="C366" s="4"/>
      <c r="D366" s="4"/>
      <c r="E366">
        <f>IF(D366="","",IFERROR(VLOOKUP(D366,'Danh mục'!$A$4:$C$13,2,FALSE),"Không rõ mã"))</f>
        <v/>
      </c>
      <c r="F366" s="3"/>
      <c r="G366" s="7">
        <f>IF(D366="","",IFERROR(VLOOKUP(D366,'Danh mục'!$A$4:$C$13,3,FALSE),0))</f>
        <v/>
      </c>
      <c r="H366" s="7">
        <f>IF(F366="","",F366*G366)</f>
        <v/>
      </c>
      <c r="I366" s="8">
        <f>IF(F366="","",IF(F366&gt;=50,5%,IF(F366&gt;=20,2%,0)))</f>
        <v/>
      </c>
      <c r="J366" s="7">
        <f>IF(H366="","",ROUND(H366*I366,0))</f>
        <v/>
      </c>
      <c r="K366" s="7">
        <f>IF(H366="","",ROUND((H366-J366)*'Danh mục'!$F$3/100,0))</f>
        <v/>
      </c>
      <c r="L366" s="7">
        <f>IF(H366="","",H366-J366+K366)</f>
        <v/>
      </c>
      <c r="M366">
        <f>IF(A366="","",MONTH(A366))</f>
        <v/>
      </c>
    </row>
    <row r="367" spans="1:13">
      <c r="A367" s="6"/>
      <c r="B367" s="4"/>
      <c r="C367" s="4"/>
      <c r="D367" s="4"/>
      <c r="E367">
        <f>IF(D367="","",IFERROR(VLOOKUP(D367,'Danh mục'!$A$4:$C$13,2,FALSE),"Không rõ mã"))</f>
        <v/>
      </c>
      <c r="F367" s="3"/>
      <c r="G367" s="7">
        <f>IF(D367="","",IFERROR(VLOOKUP(D367,'Danh mục'!$A$4:$C$13,3,FALSE),0))</f>
        <v/>
      </c>
      <c r="H367" s="7">
        <f>IF(F367="","",F367*G367)</f>
        <v/>
      </c>
      <c r="I367" s="8">
        <f>IF(F367="","",IF(F367&gt;=50,5%,IF(F367&gt;=20,2%,0)))</f>
        <v/>
      </c>
      <c r="J367" s="7">
        <f>IF(H367="","",ROUND(H367*I367,0))</f>
        <v/>
      </c>
      <c r="K367" s="7">
        <f>IF(H367="","",ROUND((H367-J367)*'Danh mục'!$F$3/100,0))</f>
        <v/>
      </c>
      <c r="L367" s="7">
        <f>IF(H367="","",H367-J367+K367)</f>
        <v/>
      </c>
      <c r="M367">
        <f>IF(A367="","",MONTH(A367))</f>
        <v/>
      </c>
    </row>
    <row r="368" spans="1:13">
      <c r="A368" s="6"/>
      <c r="B368" s="4"/>
      <c r="C368" s="4"/>
      <c r="D368" s="4"/>
      <c r="E368">
        <f>IF(D368="","",IFERROR(VLOOKUP(D368,'Danh mục'!$A$4:$C$13,2,FALSE),"Không rõ mã"))</f>
        <v/>
      </c>
      <c r="F368" s="3"/>
      <c r="G368" s="7">
        <f>IF(D368="","",IFERROR(VLOOKUP(D368,'Danh mục'!$A$4:$C$13,3,FALSE),0))</f>
        <v/>
      </c>
      <c r="H368" s="7">
        <f>IF(F368="","",F368*G368)</f>
        <v/>
      </c>
      <c r="I368" s="8">
        <f>IF(F368="","",IF(F368&gt;=50,5%,IF(F368&gt;=20,2%,0)))</f>
        <v/>
      </c>
      <c r="J368" s="7">
        <f>IF(H368="","",ROUND(H368*I368,0))</f>
        <v/>
      </c>
      <c r="K368" s="7">
        <f>IF(H368="","",ROUND((H368-J368)*'Danh mục'!$F$3/100,0))</f>
        <v/>
      </c>
      <c r="L368" s="7">
        <f>IF(H368="","",H368-J368+K368)</f>
        <v/>
      </c>
      <c r="M368">
        <f>IF(A368="","",MONTH(A368))</f>
        <v/>
      </c>
    </row>
    <row r="369" spans="1:13">
      <c r="A369" s="6"/>
      <c r="B369" s="4"/>
      <c r="C369" s="4"/>
      <c r="D369" s="4"/>
      <c r="E369">
        <f>IF(D369="","",IFERROR(VLOOKUP(D369,'Danh mục'!$A$4:$C$13,2,FALSE),"Không rõ mã"))</f>
        <v/>
      </c>
      <c r="F369" s="3"/>
      <c r="G369" s="7">
        <f>IF(D369="","",IFERROR(VLOOKUP(D369,'Danh mục'!$A$4:$C$13,3,FALSE),0))</f>
        <v/>
      </c>
      <c r="H369" s="7">
        <f>IF(F369="","",F369*G369)</f>
        <v/>
      </c>
      <c r="I369" s="8">
        <f>IF(F369="","",IF(F369&gt;=50,5%,IF(F369&gt;=20,2%,0)))</f>
        <v/>
      </c>
      <c r="J369" s="7">
        <f>IF(H369="","",ROUND(H369*I369,0))</f>
        <v/>
      </c>
      <c r="K369" s="7">
        <f>IF(H369="","",ROUND((H369-J369)*'Danh mục'!$F$3/100,0))</f>
        <v/>
      </c>
      <c r="L369" s="7">
        <f>IF(H369="","",H369-J369+K369)</f>
        <v/>
      </c>
      <c r="M369">
        <f>IF(A369="","",MONTH(A369))</f>
        <v/>
      </c>
    </row>
    <row r="370" spans="1:13">
      <c r="A370" s="6"/>
      <c r="B370" s="4"/>
      <c r="C370" s="4"/>
      <c r="D370" s="4"/>
      <c r="E370">
        <f>IF(D370="","",IFERROR(VLOOKUP(D370,'Danh mục'!$A$4:$C$13,2,FALSE),"Không rõ mã"))</f>
        <v/>
      </c>
      <c r="F370" s="3"/>
      <c r="G370" s="7">
        <f>IF(D370="","",IFERROR(VLOOKUP(D370,'Danh mục'!$A$4:$C$13,3,FALSE),0))</f>
        <v/>
      </c>
      <c r="H370" s="7">
        <f>IF(F370="","",F370*G370)</f>
        <v/>
      </c>
      <c r="I370" s="8">
        <f>IF(F370="","",IF(F370&gt;=50,5%,IF(F370&gt;=20,2%,0)))</f>
        <v/>
      </c>
      <c r="J370" s="7">
        <f>IF(H370="","",ROUND(H370*I370,0))</f>
        <v/>
      </c>
      <c r="K370" s="7">
        <f>IF(H370="","",ROUND((H370-J370)*'Danh mục'!$F$3/100,0))</f>
        <v/>
      </c>
      <c r="L370" s="7">
        <f>IF(H370="","",H370-J370+K370)</f>
        <v/>
      </c>
      <c r="M370">
        <f>IF(A370="","",MONTH(A370))</f>
        <v/>
      </c>
    </row>
    <row r="371" spans="1:13">
      <c r="A371" s="6"/>
      <c r="B371" s="4"/>
      <c r="C371" s="4"/>
      <c r="D371" s="4"/>
      <c r="E371">
        <f>IF(D371="","",IFERROR(VLOOKUP(D371,'Danh mục'!$A$4:$C$13,2,FALSE),"Không rõ mã"))</f>
        <v/>
      </c>
      <c r="F371" s="3"/>
      <c r="G371" s="7">
        <f>IF(D371="","",IFERROR(VLOOKUP(D371,'Danh mục'!$A$4:$C$13,3,FALSE),0))</f>
        <v/>
      </c>
      <c r="H371" s="7">
        <f>IF(F371="","",F371*G371)</f>
        <v/>
      </c>
      <c r="I371" s="8">
        <f>IF(F371="","",IF(F371&gt;=50,5%,IF(F371&gt;=20,2%,0)))</f>
        <v/>
      </c>
      <c r="J371" s="7">
        <f>IF(H371="","",ROUND(H371*I371,0))</f>
        <v/>
      </c>
      <c r="K371" s="7">
        <f>IF(H371="","",ROUND((H371-J371)*'Danh mục'!$F$3/100,0))</f>
        <v/>
      </c>
      <c r="L371" s="7">
        <f>IF(H371="","",H371-J371+K371)</f>
        <v/>
      </c>
      <c r="M371">
        <f>IF(A371="","",MONTH(A371))</f>
        <v/>
      </c>
    </row>
    <row r="372" spans="1:13">
      <c r="A372" s="6"/>
      <c r="B372" s="4"/>
      <c r="C372" s="4"/>
      <c r="D372" s="4"/>
      <c r="E372">
        <f>IF(D372="","",IFERROR(VLOOKUP(D372,'Danh mục'!$A$4:$C$13,2,FALSE),"Không rõ mã"))</f>
        <v/>
      </c>
      <c r="F372" s="3"/>
      <c r="G372" s="7">
        <f>IF(D372="","",IFERROR(VLOOKUP(D372,'Danh mục'!$A$4:$C$13,3,FALSE),0))</f>
        <v/>
      </c>
      <c r="H372" s="7">
        <f>IF(F372="","",F372*G372)</f>
        <v/>
      </c>
      <c r="I372" s="8">
        <f>IF(F372="","",IF(F372&gt;=50,5%,IF(F372&gt;=20,2%,0)))</f>
        <v/>
      </c>
      <c r="J372" s="7">
        <f>IF(H372="","",ROUND(H372*I372,0))</f>
        <v/>
      </c>
      <c r="K372" s="7">
        <f>IF(H372="","",ROUND((H372-J372)*'Danh mục'!$F$3/100,0))</f>
        <v/>
      </c>
      <c r="L372" s="7">
        <f>IF(H372="","",H372-J372+K372)</f>
        <v/>
      </c>
      <c r="M372">
        <f>IF(A372="","",MONTH(A372))</f>
        <v/>
      </c>
    </row>
    <row r="373" spans="1:13">
      <c r="A373" s="6"/>
      <c r="B373" s="4"/>
      <c r="C373" s="4"/>
      <c r="D373" s="4"/>
      <c r="E373">
        <f>IF(D373="","",IFERROR(VLOOKUP(D373,'Danh mục'!$A$4:$C$13,2,FALSE),"Không rõ mã"))</f>
        <v/>
      </c>
      <c r="F373" s="3"/>
      <c r="G373" s="7">
        <f>IF(D373="","",IFERROR(VLOOKUP(D373,'Danh mục'!$A$4:$C$13,3,FALSE),0))</f>
        <v/>
      </c>
      <c r="H373" s="7">
        <f>IF(F373="","",F373*G373)</f>
        <v/>
      </c>
      <c r="I373" s="8">
        <f>IF(F373="","",IF(F373&gt;=50,5%,IF(F373&gt;=20,2%,0)))</f>
        <v/>
      </c>
      <c r="J373" s="7">
        <f>IF(H373="","",ROUND(H373*I373,0))</f>
        <v/>
      </c>
      <c r="K373" s="7">
        <f>IF(H373="","",ROUND((H373-J373)*'Danh mục'!$F$3/100,0))</f>
        <v/>
      </c>
      <c r="L373" s="7">
        <f>IF(H373="","",H373-J373+K373)</f>
        <v/>
      </c>
      <c r="M373">
        <f>IF(A373="","",MONTH(A373))</f>
        <v/>
      </c>
    </row>
    <row r="374" spans="1:13">
      <c r="A374" s="6"/>
      <c r="B374" s="4"/>
      <c r="C374" s="4"/>
      <c r="D374" s="4"/>
      <c r="E374">
        <f>IF(D374="","",IFERROR(VLOOKUP(D374,'Danh mục'!$A$4:$C$13,2,FALSE),"Không rõ mã"))</f>
        <v/>
      </c>
      <c r="F374" s="3"/>
      <c r="G374" s="7">
        <f>IF(D374="","",IFERROR(VLOOKUP(D374,'Danh mục'!$A$4:$C$13,3,FALSE),0))</f>
        <v/>
      </c>
      <c r="H374" s="7">
        <f>IF(F374="","",F374*G374)</f>
        <v/>
      </c>
      <c r="I374" s="8">
        <f>IF(F374="","",IF(F374&gt;=50,5%,IF(F374&gt;=20,2%,0)))</f>
        <v/>
      </c>
      <c r="J374" s="7">
        <f>IF(H374="","",ROUND(H374*I374,0))</f>
        <v/>
      </c>
      <c r="K374" s="7">
        <f>IF(H374="","",ROUND((H374-J374)*'Danh mục'!$F$3/100,0))</f>
        <v/>
      </c>
      <c r="L374" s="7">
        <f>IF(H374="","",H374-J374+K374)</f>
        <v/>
      </c>
      <c r="M374">
        <f>IF(A374="","",MONTH(A374))</f>
        <v/>
      </c>
    </row>
    <row r="375" spans="1:13">
      <c r="A375" s="6"/>
      <c r="B375" s="4"/>
      <c r="C375" s="4"/>
      <c r="D375" s="4"/>
      <c r="E375">
        <f>IF(D375="","",IFERROR(VLOOKUP(D375,'Danh mục'!$A$4:$C$13,2,FALSE),"Không rõ mã"))</f>
        <v/>
      </c>
      <c r="F375" s="3"/>
      <c r="G375" s="7">
        <f>IF(D375="","",IFERROR(VLOOKUP(D375,'Danh mục'!$A$4:$C$13,3,FALSE),0))</f>
        <v/>
      </c>
      <c r="H375" s="7">
        <f>IF(F375="","",F375*G375)</f>
        <v/>
      </c>
      <c r="I375" s="8">
        <f>IF(F375="","",IF(F375&gt;=50,5%,IF(F375&gt;=20,2%,0)))</f>
        <v/>
      </c>
      <c r="J375" s="7">
        <f>IF(H375="","",ROUND(H375*I375,0))</f>
        <v/>
      </c>
      <c r="K375" s="7">
        <f>IF(H375="","",ROUND((H375-J375)*'Danh mục'!$F$3/100,0))</f>
        <v/>
      </c>
      <c r="L375" s="7">
        <f>IF(H375="","",H375-J375+K375)</f>
        <v/>
      </c>
      <c r="M375">
        <f>IF(A375="","",MONTH(A375))</f>
        <v/>
      </c>
    </row>
    <row r="376" spans="1:13">
      <c r="A376" s="6"/>
      <c r="B376" s="4"/>
      <c r="C376" s="4"/>
      <c r="D376" s="4"/>
      <c r="E376">
        <f>IF(D376="","",IFERROR(VLOOKUP(D376,'Danh mục'!$A$4:$C$13,2,FALSE),"Không rõ mã"))</f>
        <v/>
      </c>
      <c r="F376" s="3"/>
      <c r="G376" s="7">
        <f>IF(D376="","",IFERROR(VLOOKUP(D376,'Danh mục'!$A$4:$C$13,3,FALSE),0))</f>
        <v/>
      </c>
      <c r="H376" s="7">
        <f>IF(F376="","",F376*G376)</f>
        <v/>
      </c>
      <c r="I376" s="8">
        <f>IF(F376="","",IF(F376&gt;=50,5%,IF(F376&gt;=20,2%,0)))</f>
        <v/>
      </c>
      <c r="J376" s="7">
        <f>IF(H376="","",ROUND(H376*I376,0))</f>
        <v/>
      </c>
      <c r="K376" s="7">
        <f>IF(H376="","",ROUND((H376-J376)*'Danh mục'!$F$3/100,0))</f>
        <v/>
      </c>
      <c r="L376" s="7">
        <f>IF(H376="","",H376-J376+K376)</f>
        <v/>
      </c>
      <c r="M376">
        <f>IF(A376="","",MONTH(A376))</f>
        <v/>
      </c>
    </row>
    <row r="377" spans="1:13">
      <c r="A377" s="6"/>
      <c r="B377" s="4"/>
      <c r="C377" s="4"/>
      <c r="D377" s="4"/>
      <c r="E377">
        <f>IF(D377="","",IFERROR(VLOOKUP(D377,'Danh mục'!$A$4:$C$13,2,FALSE),"Không rõ mã"))</f>
        <v/>
      </c>
      <c r="F377" s="3"/>
      <c r="G377" s="7">
        <f>IF(D377="","",IFERROR(VLOOKUP(D377,'Danh mục'!$A$4:$C$13,3,FALSE),0))</f>
        <v/>
      </c>
      <c r="H377" s="7">
        <f>IF(F377="","",F377*G377)</f>
        <v/>
      </c>
      <c r="I377" s="8">
        <f>IF(F377="","",IF(F377&gt;=50,5%,IF(F377&gt;=20,2%,0)))</f>
        <v/>
      </c>
      <c r="J377" s="7">
        <f>IF(H377="","",ROUND(H377*I377,0))</f>
        <v/>
      </c>
      <c r="K377" s="7">
        <f>IF(H377="","",ROUND((H377-J377)*'Danh mục'!$F$3/100,0))</f>
        <v/>
      </c>
      <c r="L377" s="7">
        <f>IF(H377="","",H377-J377+K377)</f>
        <v/>
      </c>
      <c r="M377">
        <f>IF(A377="","",MONTH(A377))</f>
        <v/>
      </c>
    </row>
    <row r="378" spans="1:13">
      <c r="A378" s="6"/>
      <c r="B378" s="4"/>
      <c r="C378" s="4"/>
      <c r="D378" s="4"/>
      <c r="E378">
        <f>IF(D378="","",IFERROR(VLOOKUP(D378,'Danh mục'!$A$4:$C$13,2,FALSE),"Không rõ mã"))</f>
        <v/>
      </c>
      <c r="F378" s="3"/>
      <c r="G378" s="7">
        <f>IF(D378="","",IFERROR(VLOOKUP(D378,'Danh mục'!$A$4:$C$13,3,FALSE),0))</f>
        <v/>
      </c>
      <c r="H378" s="7">
        <f>IF(F378="","",F378*G378)</f>
        <v/>
      </c>
      <c r="I378" s="8">
        <f>IF(F378="","",IF(F378&gt;=50,5%,IF(F378&gt;=20,2%,0)))</f>
        <v/>
      </c>
      <c r="J378" s="7">
        <f>IF(H378="","",ROUND(H378*I378,0))</f>
        <v/>
      </c>
      <c r="K378" s="7">
        <f>IF(H378="","",ROUND((H378-J378)*'Danh mục'!$F$3/100,0))</f>
        <v/>
      </c>
      <c r="L378" s="7">
        <f>IF(H378="","",H378-J378+K378)</f>
        <v/>
      </c>
      <c r="M378">
        <f>IF(A378="","",MONTH(A378))</f>
        <v/>
      </c>
    </row>
    <row r="379" spans="1:13">
      <c r="A379" s="6"/>
      <c r="B379" s="4"/>
      <c r="C379" s="4"/>
      <c r="D379" s="4"/>
      <c r="E379">
        <f>IF(D379="","",IFERROR(VLOOKUP(D379,'Danh mục'!$A$4:$C$13,2,FALSE),"Không rõ mã"))</f>
        <v/>
      </c>
      <c r="F379" s="3"/>
      <c r="G379" s="7">
        <f>IF(D379="","",IFERROR(VLOOKUP(D379,'Danh mục'!$A$4:$C$13,3,FALSE),0))</f>
        <v/>
      </c>
      <c r="H379" s="7">
        <f>IF(F379="","",F379*G379)</f>
        <v/>
      </c>
      <c r="I379" s="8">
        <f>IF(F379="","",IF(F379&gt;=50,5%,IF(F379&gt;=20,2%,0)))</f>
        <v/>
      </c>
      <c r="J379" s="7">
        <f>IF(H379="","",ROUND(H379*I379,0))</f>
        <v/>
      </c>
      <c r="K379" s="7">
        <f>IF(H379="","",ROUND((H379-J379)*'Danh mục'!$F$3/100,0))</f>
        <v/>
      </c>
      <c r="L379" s="7">
        <f>IF(H379="","",H379-J379+K379)</f>
        <v/>
      </c>
      <c r="M379">
        <f>IF(A379="","",MONTH(A379))</f>
        <v/>
      </c>
    </row>
    <row r="380" spans="1:13">
      <c r="A380" s="6"/>
      <c r="B380" s="4"/>
      <c r="C380" s="4"/>
      <c r="D380" s="4"/>
      <c r="E380">
        <f>IF(D380="","",IFERROR(VLOOKUP(D380,'Danh mục'!$A$4:$C$13,2,FALSE),"Không rõ mã"))</f>
        <v/>
      </c>
      <c r="F380" s="3"/>
      <c r="G380" s="7">
        <f>IF(D380="","",IFERROR(VLOOKUP(D380,'Danh mục'!$A$4:$C$13,3,FALSE),0))</f>
        <v/>
      </c>
      <c r="H380" s="7">
        <f>IF(F380="","",F380*G380)</f>
        <v/>
      </c>
      <c r="I380" s="8">
        <f>IF(F380="","",IF(F380&gt;=50,5%,IF(F380&gt;=20,2%,0)))</f>
        <v/>
      </c>
      <c r="J380" s="7">
        <f>IF(H380="","",ROUND(H380*I380,0))</f>
        <v/>
      </c>
      <c r="K380" s="7">
        <f>IF(H380="","",ROUND((H380-J380)*'Danh mục'!$F$3/100,0))</f>
        <v/>
      </c>
      <c r="L380" s="7">
        <f>IF(H380="","",H380-J380+K380)</f>
        <v/>
      </c>
      <c r="M380">
        <f>IF(A380="","",MONTH(A380))</f>
        <v/>
      </c>
    </row>
    <row r="381" spans="1:13">
      <c r="A381" s="6"/>
      <c r="B381" s="4"/>
      <c r="C381" s="4"/>
      <c r="D381" s="4"/>
      <c r="E381">
        <f>IF(D381="","",IFERROR(VLOOKUP(D381,'Danh mục'!$A$4:$C$13,2,FALSE),"Không rõ mã"))</f>
        <v/>
      </c>
      <c r="F381" s="3"/>
      <c r="G381" s="7">
        <f>IF(D381="","",IFERROR(VLOOKUP(D381,'Danh mục'!$A$4:$C$13,3,FALSE),0))</f>
        <v/>
      </c>
      <c r="H381" s="7">
        <f>IF(F381="","",F381*G381)</f>
        <v/>
      </c>
      <c r="I381" s="8">
        <f>IF(F381="","",IF(F381&gt;=50,5%,IF(F381&gt;=20,2%,0)))</f>
        <v/>
      </c>
      <c r="J381" s="7">
        <f>IF(H381="","",ROUND(H381*I381,0))</f>
        <v/>
      </c>
      <c r="K381" s="7">
        <f>IF(H381="","",ROUND((H381-J381)*'Danh mục'!$F$3/100,0))</f>
        <v/>
      </c>
      <c r="L381" s="7">
        <f>IF(H381="","",H381-J381+K381)</f>
        <v/>
      </c>
      <c r="M381">
        <f>IF(A381="","",MONTH(A381))</f>
        <v/>
      </c>
    </row>
    <row r="382" spans="1:13">
      <c r="A382" s="6"/>
      <c r="B382" s="4"/>
      <c r="C382" s="4"/>
      <c r="D382" s="4"/>
      <c r="E382">
        <f>IF(D382="","",IFERROR(VLOOKUP(D382,'Danh mục'!$A$4:$C$13,2,FALSE),"Không rõ mã"))</f>
        <v/>
      </c>
      <c r="F382" s="3"/>
      <c r="G382" s="7">
        <f>IF(D382="","",IFERROR(VLOOKUP(D382,'Danh mục'!$A$4:$C$13,3,FALSE),0))</f>
        <v/>
      </c>
      <c r="H382" s="7">
        <f>IF(F382="","",F382*G382)</f>
        <v/>
      </c>
      <c r="I382" s="8">
        <f>IF(F382="","",IF(F382&gt;=50,5%,IF(F382&gt;=20,2%,0)))</f>
        <v/>
      </c>
      <c r="J382" s="7">
        <f>IF(H382="","",ROUND(H382*I382,0))</f>
        <v/>
      </c>
      <c r="K382" s="7">
        <f>IF(H382="","",ROUND((H382-J382)*'Danh mục'!$F$3/100,0))</f>
        <v/>
      </c>
      <c r="L382" s="7">
        <f>IF(H382="","",H382-J382+K382)</f>
        <v/>
      </c>
      <c r="M382">
        <f>IF(A382="","",MONTH(A382))</f>
        <v/>
      </c>
    </row>
    <row r="383" spans="1:13">
      <c r="A383" s="6"/>
      <c r="B383" s="4"/>
      <c r="C383" s="4"/>
      <c r="D383" s="4"/>
      <c r="E383">
        <f>IF(D383="","",IFERROR(VLOOKUP(D383,'Danh mục'!$A$4:$C$13,2,FALSE),"Không rõ mã"))</f>
        <v/>
      </c>
      <c r="F383" s="3"/>
      <c r="G383" s="7">
        <f>IF(D383="","",IFERROR(VLOOKUP(D383,'Danh mục'!$A$4:$C$13,3,FALSE),0))</f>
        <v/>
      </c>
      <c r="H383" s="7">
        <f>IF(F383="","",F383*G383)</f>
        <v/>
      </c>
      <c r="I383" s="8">
        <f>IF(F383="","",IF(F383&gt;=50,5%,IF(F383&gt;=20,2%,0)))</f>
        <v/>
      </c>
      <c r="J383" s="7">
        <f>IF(H383="","",ROUND(H383*I383,0))</f>
        <v/>
      </c>
      <c r="K383" s="7">
        <f>IF(H383="","",ROUND((H383-J383)*'Danh mục'!$F$3/100,0))</f>
        <v/>
      </c>
      <c r="L383" s="7">
        <f>IF(H383="","",H383-J383+K383)</f>
        <v/>
      </c>
      <c r="M383">
        <f>IF(A383="","",MONTH(A383))</f>
        <v/>
      </c>
    </row>
    <row r="384" spans="1:13">
      <c r="A384" s="6"/>
      <c r="B384" s="4"/>
      <c r="C384" s="4"/>
      <c r="D384" s="4"/>
      <c r="E384">
        <f>IF(D384="","",IFERROR(VLOOKUP(D384,'Danh mục'!$A$4:$C$13,2,FALSE),"Không rõ mã"))</f>
        <v/>
      </c>
      <c r="F384" s="3"/>
      <c r="G384" s="7">
        <f>IF(D384="","",IFERROR(VLOOKUP(D384,'Danh mục'!$A$4:$C$13,3,FALSE),0))</f>
        <v/>
      </c>
      <c r="H384" s="7">
        <f>IF(F384="","",F384*G384)</f>
        <v/>
      </c>
      <c r="I384" s="8">
        <f>IF(F384="","",IF(F384&gt;=50,5%,IF(F384&gt;=20,2%,0)))</f>
        <v/>
      </c>
      <c r="J384" s="7">
        <f>IF(H384="","",ROUND(H384*I384,0))</f>
        <v/>
      </c>
      <c r="K384" s="7">
        <f>IF(H384="","",ROUND((H384-J384)*'Danh mục'!$F$3/100,0))</f>
        <v/>
      </c>
      <c r="L384" s="7">
        <f>IF(H384="","",H384-J384+K384)</f>
        <v/>
      </c>
      <c r="M384">
        <f>IF(A384="","",MONTH(A384))</f>
        <v/>
      </c>
    </row>
    <row r="385" spans="1:13">
      <c r="A385" s="6"/>
      <c r="B385" s="4"/>
      <c r="C385" s="4"/>
      <c r="D385" s="4"/>
      <c r="E385">
        <f>IF(D385="","",IFERROR(VLOOKUP(D385,'Danh mục'!$A$4:$C$13,2,FALSE),"Không rõ mã"))</f>
        <v/>
      </c>
      <c r="F385" s="3"/>
      <c r="G385" s="7">
        <f>IF(D385="","",IFERROR(VLOOKUP(D385,'Danh mục'!$A$4:$C$13,3,FALSE),0))</f>
        <v/>
      </c>
      <c r="H385" s="7">
        <f>IF(F385="","",F385*G385)</f>
        <v/>
      </c>
      <c r="I385" s="8">
        <f>IF(F385="","",IF(F385&gt;=50,5%,IF(F385&gt;=20,2%,0)))</f>
        <v/>
      </c>
      <c r="J385" s="7">
        <f>IF(H385="","",ROUND(H385*I385,0))</f>
        <v/>
      </c>
      <c r="K385" s="7">
        <f>IF(H385="","",ROUND((H385-J385)*'Danh mục'!$F$3/100,0))</f>
        <v/>
      </c>
      <c r="L385" s="7">
        <f>IF(H385="","",H385-J385+K385)</f>
        <v/>
      </c>
      <c r="M385">
        <f>IF(A385="","",MONTH(A385))</f>
        <v/>
      </c>
    </row>
    <row r="386" spans="1:13">
      <c r="A386" s="6"/>
      <c r="B386" s="4"/>
      <c r="C386" s="4"/>
      <c r="D386" s="4"/>
      <c r="E386">
        <f>IF(D386="","",IFERROR(VLOOKUP(D386,'Danh mục'!$A$4:$C$13,2,FALSE),"Không rõ mã"))</f>
        <v/>
      </c>
      <c r="F386" s="3"/>
      <c r="G386" s="7">
        <f>IF(D386="","",IFERROR(VLOOKUP(D386,'Danh mục'!$A$4:$C$13,3,FALSE),0))</f>
        <v/>
      </c>
      <c r="H386" s="7">
        <f>IF(F386="","",F386*G386)</f>
        <v/>
      </c>
      <c r="I386" s="8">
        <f>IF(F386="","",IF(F386&gt;=50,5%,IF(F386&gt;=20,2%,0)))</f>
        <v/>
      </c>
      <c r="J386" s="7">
        <f>IF(H386="","",ROUND(H386*I386,0))</f>
        <v/>
      </c>
      <c r="K386" s="7">
        <f>IF(H386="","",ROUND((H386-J386)*'Danh mục'!$F$3/100,0))</f>
        <v/>
      </c>
      <c r="L386" s="7">
        <f>IF(H386="","",H386-J386+K386)</f>
        <v/>
      </c>
      <c r="M386">
        <f>IF(A386="","",MONTH(A386))</f>
        <v/>
      </c>
    </row>
    <row r="387" spans="1:13">
      <c r="A387" s="6"/>
      <c r="B387" s="4"/>
      <c r="C387" s="4"/>
      <c r="D387" s="4"/>
      <c r="E387">
        <f>IF(D387="","",IFERROR(VLOOKUP(D387,'Danh mục'!$A$4:$C$13,2,FALSE),"Không rõ mã"))</f>
        <v/>
      </c>
      <c r="F387" s="3"/>
      <c r="G387" s="7">
        <f>IF(D387="","",IFERROR(VLOOKUP(D387,'Danh mục'!$A$4:$C$13,3,FALSE),0))</f>
        <v/>
      </c>
      <c r="H387" s="7">
        <f>IF(F387="","",F387*G387)</f>
        <v/>
      </c>
      <c r="I387" s="8">
        <f>IF(F387="","",IF(F387&gt;=50,5%,IF(F387&gt;=20,2%,0)))</f>
        <v/>
      </c>
      <c r="J387" s="7">
        <f>IF(H387="","",ROUND(H387*I387,0))</f>
        <v/>
      </c>
      <c r="K387" s="7">
        <f>IF(H387="","",ROUND((H387-J387)*'Danh mục'!$F$3/100,0))</f>
        <v/>
      </c>
      <c r="L387" s="7">
        <f>IF(H387="","",H387-J387+K387)</f>
        <v/>
      </c>
      <c r="M387">
        <f>IF(A387="","",MONTH(A387))</f>
        <v/>
      </c>
    </row>
    <row r="388" spans="1:13">
      <c r="A388" s="6"/>
      <c r="B388" s="4"/>
      <c r="C388" s="4"/>
      <c r="D388" s="4"/>
      <c r="E388">
        <f>IF(D388="","",IFERROR(VLOOKUP(D388,'Danh mục'!$A$4:$C$13,2,FALSE),"Không rõ mã"))</f>
        <v/>
      </c>
      <c r="F388" s="3"/>
      <c r="G388" s="7">
        <f>IF(D388="","",IFERROR(VLOOKUP(D388,'Danh mục'!$A$4:$C$13,3,FALSE),0))</f>
        <v/>
      </c>
      <c r="H388" s="7">
        <f>IF(F388="","",F388*G388)</f>
        <v/>
      </c>
      <c r="I388" s="8">
        <f>IF(F388="","",IF(F388&gt;=50,5%,IF(F388&gt;=20,2%,0)))</f>
        <v/>
      </c>
      <c r="J388" s="7">
        <f>IF(H388="","",ROUND(H388*I388,0))</f>
        <v/>
      </c>
      <c r="K388" s="7">
        <f>IF(H388="","",ROUND((H388-J388)*'Danh mục'!$F$3/100,0))</f>
        <v/>
      </c>
      <c r="L388" s="7">
        <f>IF(H388="","",H388-J388+K388)</f>
        <v/>
      </c>
      <c r="M388">
        <f>IF(A388="","",MONTH(A388))</f>
        <v/>
      </c>
    </row>
    <row r="389" spans="1:13">
      <c r="A389" s="6"/>
      <c r="B389" s="4"/>
      <c r="C389" s="4"/>
      <c r="D389" s="4"/>
      <c r="E389">
        <f>IF(D389="","",IFERROR(VLOOKUP(D389,'Danh mục'!$A$4:$C$13,2,FALSE),"Không rõ mã"))</f>
        <v/>
      </c>
      <c r="F389" s="3"/>
      <c r="G389" s="7">
        <f>IF(D389="","",IFERROR(VLOOKUP(D389,'Danh mục'!$A$4:$C$13,3,FALSE),0))</f>
        <v/>
      </c>
      <c r="H389" s="7">
        <f>IF(F389="","",F389*G389)</f>
        <v/>
      </c>
      <c r="I389" s="8">
        <f>IF(F389="","",IF(F389&gt;=50,5%,IF(F389&gt;=20,2%,0)))</f>
        <v/>
      </c>
      <c r="J389" s="7">
        <f>IF(H389="","",ROUND(H389*I389,0))</f>
        <v/>
      </c>
      <c r="K389" s="7">
        <f>IF(H389="","",ROUND((H389-J389)*'Danh mục'!$F$3/100,0))</f>
        <v/>
      </c>
      <c r="L389" s="7">
        <f>IF(H389="","",H389-J389+K389)</f>
        <v/>
      </c>
      <c r="M389">
        <f>IF(A389="","",MONTH(A389))</f>
        <v/>
      </c>
    </row>
    <row r="390" spans="1:13">
      <c r="A390" s="6"/>
      <c r="B390" s="4"/>
      <c r="C390" s="4"/>
      <c r="D390" s="4"/>
      <c r="E390">
        <f>IF(D390="","",IFERROR(VLOOKUP(D390,'Danh mục'!$A$4:$C$13,2,FALSE),"Không rõ mã"))</f>
        <v/>
      </c>
      <c r="F390" s="3"/>
      <c r="G390" s="7">
        <f>IF(D390="","",IFERROR(VLOOKUP(D390,'Danh mục'!$A$4:$C$13,3,FALSE),0))</f>
        <v/>
      </c>
      <c r="H390" s="7">
        <f>IF(F390="","",F390*G390)</f>
        <v/>
      </c>
      <c r="I390" s="8">
        <f>IF(F390="","",IF(F390&gt;=50,5%,IF(F390&gt;=20,2%,0)))</f>
        <v/>
      </c>
      <c r="J390" s="7">
        <f>IF(H390="","",ROUND(H390*I390,0))</f>
        <v/>
      </c>
      <c r="K390" s="7">
        <f>IF(H390="","",ROUND((H390-J390)*'Danh mục'!$F$3/100,0))</f>
        <v/>
      </c>
      <c r="L390" s="7">
        <f>IF(H390="","",H390-J390+K390)</f>
        <v/>
      </c>
      <c r="M390">
        <f>IF(A390="","",MONTH(A390))</f>
        <v/>
      </c>
    </row>
    <row r="391" spans="1:13">
      <c r="A391" s="6"/>
      <c r="B391" s="4"/>
      <c r="C391" s="4"/>
      <c r="D391" s="4"/>
      <c r="E391">
        <f>IF(D391="","",IFERROR(VLOOKUP(D391,'Danh mục'!$A$4:$C$13,2,FALSE),"Không rõ mã"))</f>
        <v/>
      </c>
      <c r="F391" s="3"/>
      <c r="G391" s="7">
        <f>IF(D391="","",IFERROR(VLOOKUP(D391,'Danh mục'!$A$4:$C$13,3,FALSE),0))</f>
        <v/>
      </c>
      <c r="H391" s="7">
        <f>IF(F391="","",F391*G391)</f>
        <v/>
      </c>
      <c r="I391" s="8">
        <f>IF(F391="","",IF(F391&gt;=50,5%,IF(F391&gt;=20,2%,0)))</f>
        <v/>
      </c>
      <c r="J391" s="7">
        <f>IF(H391="","",ROUND(H391*I391,0))</f>
        <v/>
      </c>
      <c r="K391" s="7">
        <f>IF(H391="","",ROUND((H391-J391)*'Danh mục'!$F$3/100,0))</f>
        <v/>
      </c>
      <c r="L391" s="7">
        <f>IF(H391="","",H391-J391+K391)</f>
        <v/>
      </c>
      <c r="M391">
        <f>IF(A391="","",MONTH(A391))</f>
        <v/>
      </c>
    </row>
    <row r="392" spans="1:13">
      <c r="A392" s="6"/>
      <c r="B392" s="4"/>
      <c r="C392" s="4"/>
      <c r="D392" s="4"/>
      <c r="E392">
        <f>IF(D392="","",IFERROR(VLOOKUP(D392,'Danh mục'!$A$4:$C$13,2,FALSE),"Không rõ mã"))</f>
        <v/>
      </c>
      <c r="F392" s="3"/>
      <c r="G392" s="7">
        <f>IF(D392="","",IFERROR(VLOOKUP(D392,'Danh mục'!$A$4:$C$13,3,FALSE),0))</f>
        <v/>
      </c>
      <c r="H392" s="7">
        <f>IF(F392="","",F392*G392)</f>
        <v/>
      </c>
      <c r="I392" s="8">
        <f>IF(F392="","",IF(F392&gt;=50,5%,IF(F392&gt;=20,2%,0)))</f>
        <v/>
      </c>
      <c r="J392" s="7">
        <f>IF(H392="","",ROUND(H392*I392,0))</f>
        <v/>
      </c>
      <c r="K392" s="7">
        <f>IF(H392="","",ROUND((H392-J392)*'Danh mục'!$F$3/100,0))</f>
        <v/>
      </c>
      <c r="L392" s="7">
        <f>IF(H392="","",H392-J392+K392)</f>
        <v/>
      </c>
      <c r="M392">
        <f>IF(A392="","",MONTH(A392))</f>
        <v/>
      </c>
    </row>
    <row r="393" spans="1:13">
      <c r="A393" s="6"/>
      <c r="B393" s="4"/>
      <c r="C393" s="4"/>
      <c r="D393" s="4"/>
      <c r="E393">
        <f>IF(D393="","",IFERROR(VLOOKUP(D393,'Danh mục'!$A$4:$C$13,2,FALSE),"Không rõ mã"))</f>
        <v/>
      </c>
      <c r="F393" s="3"/>
      <c r="G393" s="7">
        <f>IF(D393="","",IFERROR(VLOOKUP(D393,'Danh mục'!$A$4:$C$13,3,FALSE),0))</f>
        <v/>
      </c>
      <c r="H393" s="7">
        <f>IF(F393="","",F393*G393)</f>
        <v/>
      </c>
      <c r="I393" s="8">
        <f>IF(F393="","",IF(F393&gt;=50,5%,IF(F393&gt;=20,2%,0)))</f>
        <v/>
      </c>
      <c r="J393" s="7">
        <f>IF(H393="","",ROUND(H393*I393,0))</f>
        <v/>
      </c>
      <c r="K393" s="7">
        <f>IF(H393="","",ROUND((H393-J393)*'Danh mục'!$F$3/100,0))</f>
        <v/>
      </c>
      <c r="L393" s="7">
        <f>IF(H393="","",H393-J393+K393)</f>
        <v/>
      </c>
      <c r="M393">
        <f>IF(A393="","",MONTH(A393))</f>
        <v/>
      </c>
    </row>
    <row r="394" spans="1:13">
      <c r="A394" s="6"/>
      <c r="B394" s="4"/>
      <c r="C394" s="4"/>
      <c r="D394" s="4"/>
      <c r="E394">
        <f>IF(D394="","",IFERROR(VLOOKUP(D394,'Danh mục'!$A$4:$C$13,2,FALSE),"Không rõ mã"))</f>
        <v/>
      </c>
      <c r="F394" s="3"/>
      <c r="G394" s="7">
        <f>IF(D394="","",IFERROR(VLOOKUP(D394,'Danh mục'!$A$4:$C$13,3,FALSE),0))</f>
        <v/>
      </c>
      <c r="H394" s="7">
        <f>IF(F394="","",F394*G394)</f>
        <v/>
      </c>
      <c r="I394" s="8">
        <f>IF(F394="","",IF(F394&gt;=50,5%,IF(F394&gt;=20,2%,0)))</f>
        <v/>
      </c>
      <c r="J394" s="7">
        <f>IF(H394="","",ROUND(H394*I394,0))</f>
        <v/>
      </c>
      <c r="K394" s="7">
        <f>IF(H394="","",ROUND((H394-J394)*'Danh mục'!$F$3/100,0))</f>
        <v/>
      </c>
      <c r="L394" s="7">
        <f>IF(H394="","",H394-J394+K394)</f>
        <v/>
      </c>
      <c r="M394">
        <f>IF(A394="","",MONTH(A394))</f>
        <v/>
      </c>
    </row>
    <row r="395" spans="1:13">
      <c r="A395" s="6"/>
      <c r="B395" s="4"/>
      <c r="C395" s="4"/>
      <c r="D395" s="4"/>
      <c r="E395">
        <f>IF(D395="","",IFERROR(VLOOKUP(D395,'Danh mục'!$A$4:$C$13,2,FALSE),"Không rõ mã"))</f>
        <v/>
      </c>
      <c r="F395" s="3"/>
      <c r="G395" s="7">
        <f>IF(D395="","",IFERROR(VLOOKUP(D395,'Danh mục'!$A$4:$C$13,3,FALSE),0))</f>
        <v/>
      </c>
      <c r="H395" s="7">
        <f>IF(F395="","",F395*G395)</f>
        <v/>
      </c>
      <c r="I395" s="8">
        <f>IF(F395="","",IF(F395&gt;=50,5%,IF(F395&gt;=20,2%,0)))</f>
        <v/>
      </c>
      <c r="J395" s="7">
        <f>IF(H395="","",ROUND(H395*I395,0))</f>
        <v/>
      </c>
      <c r="K395" s="7">
        <f>IF(H395="","",ROUND((H395-J395)*'Danh mục'!$F$3/100,0))</f>
        <v/>
      </c>
      <c r="L395" s="7">
        <f>IF(H395="","",H395-J395+K395)</f>
        <v/>
      </c>
      <c r="M395">
        <f>IF(A395="","",MONTH(A395))</f>
        <v/>
      </c>
    </row>
    <row r="396" spans="1:13">
      <c r="A396" s="6"/>
      <c r="B396" s="4"/>
      <c r="C396" s="4"/>
      <c r="D396" s="4"/>
      <c r="E396">
        <f>IF(D396="","",IFERROR(VLOOKUP(D396,'Danh mục'!$A$4:$C$13,2,FALSE),"Không rõ mã"))</f>
        <v/>
      </c>
      <c r="F396" s="3"/>
      <c r="G396" s="7">
        <f>IF(D396="","",IFERROR(VLOOKUP(D396,'Danh mục'!$A$4:$C$13,3,FALSE),0))</f>
        <v/>
      </c>
      <c r="H396" s="7">
        <f>IF(F396="","",F396*G396)</f>
        <v/>
      </c>
      <c r="I396" s="8">
        <f>IF(F396="","",IF(F396&gt;=50,5%,IF(F396&gt;=20,2%,0)))</f>
        <v/>
      </c>
      <c r="J396" s="7">
        <f>IF(H396="","",ROUND(H396*I396,0))</f>
        <v/>
      </c>
      <c r="K396" s="7">
        <f>IF(H396="","",ROUND((H396-J396)*'Danh mục'!$F$3/100,0))</f>
        <v/>
      </c>
      <c r="L396" s="7">
        <f>IF(H396="","",H396-J396+K396)</f>
        <v/>
      </c>
      <c r="M396">
        <f>IF(A396="","",MONTH(A396))</f>
        <v/>
      </c>
    </row>
    <row r="397" spans="1:13">
      <c r="A397" s="6"/>
      <c r="B397" s="4"/>
      <c r="C397" s="4"/>
      <c r="D397" s="4"/>
      <c r="E397">
        <f>IF(D397="","",IFERROR(VLOOKUP(D397,'Danh mục'!$A$4:$C$13,2,FALSE),"Không rõ mã"))</f>
        <v/>
      </c>
      <c r="F397" s="3"/>
      <c r="G397" s="7">
        <f>IF(D397="","",IFERROR(VLOOKUP(D397,'Danh mục'!$A$4:$C$13,3,FALSE),0))</f>
        <v/>
      </c>
      <c r="H397" s="7">
        <f>IF(F397="","",F397*G397)</f>
        <v/>
      </c>
      <c r="I397" s="8">
        <f>IF(F397="","",IF(F397&gt;=50,5%,IF(F397&gt;=20,2%,0)))</f>
        <v/>
      </c>
      <c r="J397" s="7">
        <f>IF(H397="","",ROUND(H397*I397,0))</f>
        <v/>
      </c>
      <c r="K397" s="7">
        <f>IF(H397="","",ROUND((H397-J397)*'Danh mục'!$F$3/100,0))</f>
        <v/>
      </c>
      <c r="L397" s="7">
        <f>IF(H397="","",H397-J397+K397)</f>
        <v/>
      </c>
      <c r="M397">
        <f>IF(A397="","",MONTH(A397))</f>
        <v/>
      </c>
    </row>
    <row r="398" spans="1:13">
      <c r="A398" s="6"/>
      <c r="B398" s="4"/>
      <c r="C398" s="4"/>
      <c r="D398" s="4"/>
      <c r="E398">
        <f>IF(D398="","",IFERROR(VLOOKUP(D398,'Danh mục'!$A$4:$C$13,2,FALSE),"Không rõ mã"))</f>
        <v/>
      </c>
      <c r="F398" s="3"/>
      <c r="G398" s="7">
        <f>IF(D398="","",IFERROR(VLOOKUP(D398,'Danh mục'!$A$4:$C$13,3,FALSE),0))</f>
        <v/>
      </c>
      <c r="H398" s="7">
        <f>IF(F398="","",F398*G398)</f>
        <v/>
      </c>
      <c r="I398" s="8">
        <f>IF(F398="","",IF(F398&gt;=50,5%,IF(F398&gt;=20,2%,0)))</f>
        <v/>
      </c>
      <c r="J398" s="7">
        <f>IF(H398="","",ROUND(H398*I398,0))</f>
        <v/>
      </c>
      <c r="K398" s="7">
        <f>IF(H398="","",ROUND((H398-J398)*'Danh mục'!$F$3/100,0))</f>
        <v/>
      </c>
      <c r="L398" s="7">
        <f>IF(H398="","",H398-J398+K398)</f>
        <v/>
      </c>
      <c r="M398">
        <f>IF(A398="","",MONTH(A398))</f>
        <v/>
      </c>
    </row>
    <row r="399" spans="1:13">
      <c r="A399" s="6"/>
      <c r="B399" s="4"/>
      <c r="C399" s="4"/>
      <c r="D399" s="4"/>
      <c r="E399">
        <f>IF(D399="","",IFERROR(VLOOKUP(D399,'Danh mục'!$A$4:$C$13,2,FALSE),"Không rõ mã"))</f>
        <v/>
      </c>
      <c r="F399" s="3"/>
      <c r="G399" s="7">
        <f>IF(D399="","",IFERROR(VLOOKUP(D399,'Danh mục'!$A$4:$C$13,3,FALSE),0))</f>
        <v/>
      </c>
      <c r="H399" s="7">
        <f>IF(F399="","",F399*G399)</f>
        <v/>
      </c>
      <c r="I399" s="8">
        <f>IF(F399="","",IF(F399&gt;=50,5%,IF(F399&gt;=20,2%,0)))</f>
        <v/>
      </c>
      <c r="J399" s="7">
        <f>IF(H399="","",ROUND(H399*I399,0))</f>
        <v/>
      </c>
      <c r="K399" s="7">
        <f>IF(H399="","",ROUND((H399-J399)*'Danh mục'!$F$3/100,0))</f>
        <v/>
      </c>
      <c r="L399" s="7">
        <f>IF(H399="","",H399-J399+K399)</f>
        <v/>
      </c>
      <c r="M399">
        <f>IF(A399="","",MONTH(A399))</f>
        <v/>
      </c>
    </row>
    <row r="400" spans="1:13">
      <c r="A400" s="6"/>
      <c r="B400" s="4"/>
      <c r="C400" s="4"/>
      <c r="D400" s="4"/>
      <c r="E400">
        <f>IF(D400="","",IFERROR(VLOOKUP(D400,'Danh mục'!$A$4:$C$13,2,FALSE),"Không rõ mã"))</f>
        <v/>
      </c>
      <c r="F400" s="3"/>
      <c r="G400" s="7">
        <f>IF(D400="","",IFERROR(VLOOKUP(D400,'Danh mục'!$A$4:$C$13,3,FALSE),0))</f>
        <v/>
      </c>
      <c r="H400" s="7">
        <f>IF(F400="","",F400*G400)</f>
        <v/>
      </c>
      <c r="I400" s="8">
        <f>IF(F400="","",IF(F400&gt;=50,5%,IF(F400&gt;=20,2%,0)))</f>
        <v/>
      </c>
      <c r="J400" s="7">
        <f>IF(H400="","",ROUND(H400*I400,0))</f>
        <v/>
      </c>
      <c r="K400" s="7">
        <f>IF(H400="","",ROUND((H400-J400)*'Danh mục'!$F$3/100,0))</f>
        <v/>
      </c>
      <c r="L400" s="7">
        <f>IF(H400="","",H400-J400+K400)</f>
        <v/>
      </c>
      <c r="M400">
        <f>IF(A400="","",MONTH(A400))</f>
        <v/>
      </c>
    </row>
    <row r="401" spans="1:13">
      <c r="A401" s="6"/>
      <c r="B401" s="4"/>
      <c r="C401" s="4"/>
      <c r="D401" s="4"/>
      <c r="E401">
        <f>IF(D401="","",IFERROR(VLOOKUP(D401,'Danh mục'!$A$4:$C$13,2,FALSE),"Không rõ mã"))</f>
        <v/>
      </c>
      <c r="F401" s="3"/>
      <c r="G401" s="7">
        <f>IF(D401="","",IFERROR(VLOOKUP(D401,'Danh mục'!$A$4:$C$13,3,FALSE),0))</f>
        <v/>
      </c>
      <c r="H401" s="7">
        <f>IF(F401="","",F401*G401)</f>
        <v/>
      </c>
      <c r="I401" s="8">
        <f>IF(F401="","",IF(F401&gt;=50,5%,IF(F401&gt;=20,2%,0)))</f>
        <v/>
      </c>
      <c r="J401" s="7">
        <f>IF(H401="","",ROUND(H401*I401,0))</f>
        <v/>
      </c>
      <c r="K401" s="7">
        <f>IF(H401="","",ROUND((H401-J401)*'Danh mục'!$F$3/100,0))</f>
        <v/>
      </c>
      <c r="L401" s="7">
        <f>IF(H401="","",H401-J401+K401)</f>
        <v/>
      </c>
      <c r="M401">
        <f>IF(A401="","",MONTH(A401))</f>
        <v/>
      </c>
    </row>
    <row r="402" spans="1:13">
      <c r="A402" s="6"/>
      <c r="B402" s="4"/>
      <c r="C402" s="4"/>
      <c r="D402" s="4"/>
      <c r="E402">
        <f>IF(D402="","",IFERROR(VLOOKUP(D402,'Danh mục'!$A$4:$C$13,2,FALSE),"Không rõ mã"))</f>
        <v/>
      </c>
      <c r="F402" s="3"/>
      <c r="G402" s="7">
        <f>IF(D402="","",IFERROR(VLOOKUP(D402,'Danh mục'!$A$4:$C$13,3,FALSE),0))</f>
        <v/>
      </c>
      <c r="H402" s="7">
        <f>IF(F402="","",F402*G402)</f>
        <v/>
      </c>
      <c r="I402" s="8">
        <f>IF(F402="","",IF(F402&gt;=50,5%,IF(F402&gt;=20,2%,0)))</f>
        <v/>
      </c>
      <c r="J402" s="7">
        <f>IF(H402="","",ROUND(H402*I402,0))</f>
        <v/>
      </c>
      <c r="K402" s="7">
        <f>IF(H402="","",ROUND((H402-J402)*'Danh mục'!$F$3/100,0))</f>
        <v/>
      </c>
      <c r="L402" s="7">
        <f>IF(H402="","",H402-J402+K402)</f>
        <v/>
      </c>
      <c r="M402">
        <f>IF(A402="","",MONTH(A402))</f>
        <v/>
      </c>
    </row>
    <row r="403" spans="1:13">
      <c r="A403" s="6"/>
      <c r="B403" s="4"/>
      <c r="C403" s="4"/>
      <c r="D403" s="4"/>
      <c r="E403">
        <f>IF(D403="","",IFERROR(VLOOKUP(D403,'Danh mục'!$A$4:$C$13,2,FALSE),"Không rõ mã"))</f>
        <v/>
      </c>
      <c r="F403" s="3"/>
      <c r="G403" s="7">
        <f>IF(D403="","",IFERROR(VLOOKUP(D403,'Danh mục'!$A$4:$C$13,3,FALSE),0))</f>
        <v/>
      </c>
      <c r="H403" s="7">
        <f>IF(F403="","",F403*G403)</f>
        <v/>
      </c>
      <c r="I403" s="8">
        <f>IF(F403="","",IF(F403&gt;=50,5%,IF(F403&gt;=20,2%,0)))</f>
        <v/>
      </c>
      <c r="J403" s="7">
        <f>IF(H403="","",ROUND(H403*I403,0))</f>
        <v/>
      </c>
      <c r="K403" s="7">
        <f>IF(H403="","",ROUND((H403-J403)*'Danh mục'!$F$3/100,0))</f>
        <v/>
      </c>
      <c r="L403" s="7">
        <f>IF(H403="","",H403-J403+K403)</f>
        <v/>
      </c>
      <c r="M403">
        <f>IF(A403="","",MONTH(A403))</f>
        <v/>
      </c>
    </row>
    <row r="404" spans="1:13">
      <c r="A404" s="6"/>
      <c r="B404" s="4"/>
      <c r="C404" s="4"/>
      <c r="D404" s="4"/>
      <c r="E404">
        <f>IF(D404="","",IFERROR(VLOOKUP(D404,'Danh mục'!$A$4:$C$13,2,FALSE),"Không rõ mã"))</f>
        <v/>
      </c>
      <c r="F404" s="3"/>
      <c r="G404" s="7">
        <f>IF(D404="","",IFERROR(VLOOKUP(D404,'Danh mục'!$A$4:$C$13,3,FALSE),0))</f>
        <v/>
      </c>
      <c r="H404" s="7">
        <f>IF(F404="","",F404*G404)</f>
        <v/>
      </c>
      <c r="I404" s="8">
        <f>IF(F404="","",IF(F404&gt;=50,5%,IF(F404&gt;=20,2%,0)))</f>
        <v/>
      </c>
      <c r="J404" s="7">
        <f>IF(H404="","",ROUND(H404*I404,0))</f>
        <v/>
      </c>
      <c r="K404" s="7">
        <f>IF(H404="","",ROUND((H404-J404)*'Danh mục'!$F$3/100,0))</f>
        <v/>
      </c>
      <c r="L404" s="7">
        <f>IF(H404="","",H404-J404+K404)</f>
        <v/>
      </c>
      <c r="M404">
        <f>IF(A404="","",MONTH(A404))</f>
        <v/>
      </c>
    </row>
    <row r="405" spans="1:13">
      <c r="A405" s="6"/>
      <c r="B405" s="4"/>
      <c r="C405" s="4"/>
      <c r="D405" s="4"/>
      <c r="E405">
        <f>IF(D405="","",IFERROR(VLOOKUP(D405,'Danh mục'!$A$4:$C$13,2,FALSE),"Không rõ mã"))</f>
        <v/>
      </c>
      <c r="F405" s="3"/>
      <c r="G405" s="7">
        <f>IF(D405="","",IFERROR(VLOOKUP(D405,'Danh mục'!$A$4:$C$13,3,FALSE),0))</f>
        <v/>
      </c>
      <c r="H405" s="7">
        <f>IF(F405="","",F405*G405)</f>
        <v/>
      </c>
      <c r="I405" s="8">
        <f>IF(F405="","",IF(F405&gt;=50,5%,IF(F405&gt;=20,2%,0)))</f>
        <v/>
      </c>
      <c r="J405" s="7">
        <f>IF(H405="","",ROUND(H405*I405,0))</f>
        <v/>
      </c>
      <c r="K405" s="7">
        <f>IF(H405="","",ROUND((H405-J405)*'Danh mục'!$F$3/100,0))</f>
        <v/>
      </c>
      <c r="L405" s="7">
        <f>IF(H405="","",H405-J405+K405)</f>
        <v/>
      </c>
      <c r="M405">
        <f>IF(A405="","",MONTH(A405))</f>
        <v/>
      </c>
    </row>
    <row r="406" spans="1:13">
      <c r="A406" s="6"/>
      <c r="B406" s="4"/>
      <c r="C406" s="4"/>
      <c r="D406" s="4"/>
      <c r="E406">
        <f>IF(D406="","",IFERROR(VLOOKUP(D406,'Danh mục'!$A$4:$C$13,2,FALSE),"Không rõ mã"))</f>
        <v/>
      </c>
      <c r="F406" s="3"/>
      <c r="G406" s="7">
        <f>IF(D406="","",IFERROR(VLOOKUP(D406,'Danh mục'!$A$4:$C$13,3,FALSE),0))</f>
        <v/>
      </c>
      <c r="H406" s="7">
        <f>IF(F406="","",F406*G406)</f>
        <v/>
      </c>
      <c r="I406" s="8">
        <f>IF(F406="","",IF(F406&gt;=50,5%,IF(F406&gt;=20,2%,0)))</f>
        <v/>
      </c>
      <c r="J406" s="7">
        <f>IF(H406="","",ROUND(H406*I406,0))</f>
        <v/>
      </c>
      <c r="K406" s="7">
        <f>IF(H406="","",ROUND((H406-J406)*'Danh mục'!$F$3/100,0))</f>
        <v/>
      </c>
      <c r="L406" s="7">
        <f>IF(H406="","",H406-J406+K406)</f>
        <v/>
      </c>
      <c r="M406">
        <f>IF(A406="","",MONTH(A406))</f>
        <v/>
      </c>
    </row>
    <row r="407" spans="1:13">
      <c r="A407" s="6"/>
      <c r="B407" s="4"/>
      <c r="C407" s="4"/>
      <c r="D407" s="4"/>
      <c r="E407">
        <f>IF(D407="","",IFERROR(VLOOKUP(D407,'Danh mục'!$A$4:$C$13,2,FALSE),"Không rõ mã"))</f>
        <v/>
      </c>
      <c r="F407" s="3"/>
      <c r="G407" s="7">
        <f>IF(D407="","",IFERROR(VLOOKUP(D407,'Danh mục'!$A$4:$C$13,3,FALSE),0))</f>
        <v/>
      </c>
      <c r="H407" s="7">
        <f>IF(F407="","",F407*G407)</f>
        <v/>
      </c>
      <c r="I407" s="8">
        <f>IF(F407="","",IF(F407&gt;=50,5%,IF(F407&gt;=20,2%,0)))</f>
        <v/>
      </c>
      <c r="J407" s="7">
        <f>IF(H407="","",ROUND(H407*I407,0))</f>
        <v/>
      </c>
      <c r="K407" s="7">
        <f>IF(H407="","",ROUND((H407-J407)*'Danh mục'!$F$3/100,0))</f>
        <v/>
      </c>
      <c r="L407" s="7">
        <f>IF(H407="","",H407-J407+K407)</f>
        <v/>
      </c>
      <c r="M407">
        <f>IF(A407="","",MONTH(A407))</f>
        <v/>
      </c>
    </row>
    <row r="408" spans="1:13">
      <c r="A408" s="9"/>
      <c r="B408" s="9" t="s">
        <v>17</v>
      </c>
      <c r="C408" s="9"/>
      <c r="D408" s="9"/>
      <c r="E408" s="9"/>
      <c r="F408" s="9">
        <f>SUBTOTAL(9,F8:F407)</f>
        <v>0</v>
      </c>
      <c r="G408" s="9"/>
      <c r="H408" s="9">
        <f>SUBTOTAL(9,H8:H407)</f>
        <v>0</v>
      </c>
      <c r="I408" s="9"/>
      <c r="J408" s="9">
        <f>SUBTOTAL(9,J8:J407)</f>
        <v>0</v>
      </c>
      <c r="K408" s="9">
        <f>SUBTOTAL(9,K8:K407)</f>
        <v>0</v>
      </c>
      <c r="L408" s="9">
        <f>SUBTOTAL(9,L8:L407)</f>
        <v>0</v>
      </c>
      <c r="M408" s="9"/>
    </row>
  </sheetData>
  <autoFilter ref="A7:M40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0.7109375" customWidth="1"/>
    <col min="2" max="2" width="28.7109375" customWidth="1"/>
    <col min="3" max="6" width="13.7109375" customWidth="1"/>
  </cols>
  <sheetData>
    <row r="1" spans="1:6">
      <c r="A1" s="1" t="s">
        <v>18</v>
      </c>
    </row>
    <row r="3" spans="1:6">
      <c r="A3" s="5" t="s">
        <v>7</v>
      </c>
      <c r="B3" s="5" t="s">
        <v>8</v>
      </c>
      <c r="C3" s="5" t="s">
        <v>10</v>
      </c>
      <c r="E3" s="2" t="s">
        <v>39</v>
      </c>
      <c r="F3">
        <v>10</v>
      </c>
    </row>
    <row r="4" spans="1:6">
      <c r="A4" t="s">
        <v>19</v>
      </c>
      <c r="B4" t="s">
        <v>20</v>
      </c>
      <c r="C4" s="7">
        <v>15900000</v>
      </c>
    </row>
    <row r="5" spans="1:6">
      <c r="A5" t="s">
        <v>21</v>
      </c>
      <c r="B5" t="s">
        <v>22</v>
      </c>
      <c r="C5" s="7">
        <v>3250000</v>
      </c>
    </row>
    <row r="6" spans="1:6">
      <c r="A6" t="s">
        <v>23</v>
      </c>
      <c r="B6" t="s">
        <v>24</v>
      </c>
      <c r="C6" s="7">
        <v>890000</v>
      </c>
    </row>
    <row r="7" spans="1:6">
      <c r="A7" t="s">
        <v>25</v>
      </c>
      <c r="B7" t="s">
        <v>26</v>
      </c>
      <c r="C7" s="7">
        <v>245000</v>
      </c>
    </row>
    <row r="8" spans="1:6">
      <c r="A8" t="s">
        <v>27</v>
      </c>
      <c r="B8" t="s">
        <v>28</v>
      </c>
      <c r="C8" s="7">
        <v>650000</v>
      </c>
    </row>
    <row r="9" spans="1:6">
      <c r="A9" t="s">
        <v>29</v>
      </c>
      <c r="B9" t="s">
        <v>30</v>
      </c>
      <c r="C9" s="7">
        <v>720000</v>
      </c>
    </row>
    <row r="10" spans="1:6">
      <c r="A10" t="s">
        <v>31</v>
      </c>
      <c r="B10" t="s">
        <v>32</v>
      </c>
      <c r="C10" s="7">
        <v>1850000</v>
      </c>
    </row>
    <row r="11" spans="1:6">
      <c r="A11" t="s">
        <v>33</v>
      </c>
      <c r="B11" t="s">
        <v>34</v>
      </c>
      <c r="C11" s="7">
        <v>1290000</v>
      </c>
    </row>
    <row r="12" spans="1:6">
      <c r="A12" t="s">
        <v>35</v>
      </c>
      <c r="B12" t="s">
        <v>36</v>
      </c>
      <c r="C12" s="7">
        <v>65000</v>
      </c>
    </row>
    <row r="13" spans="1:6">
      <c r="A13" t="s">
        <v>37</v>
      </c>
      <c r="B13" t="s">
        <v>38</v>
      </c>
      <c r="C13" s="7">
        <v>320000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cols>
    <col min="1" max="1" width="10.7109375" customWidth="1"/>
    <col min="2" max="9" width="14.7109375" customWidth="1"/>
    <col min="11" max="11" width="28.7109375" customWidth="1"/>
    <col min="12" max="12" width="18.7109375" customWidth="1"/>
  </cols>
  <sheetData>
    <row r="1" spans="1:12">
      <c r="A1" s="1" t="s">
        <v>40</v>
      </c>
    </row>
    <row r="3" spans="1:12">
      <c r="A3" s="5" t="s">
        <v>16</v>
      </c>
      <c r="B3" s="5" t="s">
        <v>41</v>
      </c>
      <c r="C3" s="5" t="s">
        <v>9</v>
      </c>
      <c r="D3" s="5" t="s">
        <v>42</v>
      </c>
      <c r="E3" s="5" t="s">
        <v>43</v>
      </c>
      <c r="F3" s="5" t="s">
        <v>15</v>
      </c>
      <c r="G3" s="5" t="s">
        <v>44</v>
      </c>
      <c r="H3" s="5" t="s">
        <v>45</v>
      </c>
      <c r="I3" s="5" t="s">
        <v>46</v>
      </c>
      <c r="K3" s="5" t="s">
        <v>50</v>
      </c>
      <c r="L3" s="5"/>
    </row>
    <row r="4" spans="1:12">
      <c r="A4">
        <v>1</v>
      </c>
      <c r="B4" s="7">
        <f>COUNTIF('Sổ bán hàng'!$M$8:$M$407,A4)</f>
        <v>0</v>
      </c>
      <c r="C4" s="7">
        <f>SUMIF('Sổ bán hàng'!$M$8:$M$407,A4,'Sổ bán hàng'!$F$8:$F$407)</f>
        <v>0</v>
      </c>
      <c r="D4" s="7">
        <f>SUMIF('Sổ bán hàng'!$M$8:$M$407,A4,'Sổ bán hàng'!$H$8:$H$407)</f>
        <v>0</v>
      </c>
      <c r="E4" s="7">
        <f>SUMIF('Sổ bán hàng'!$M$8:$M$407,A4,'Sổ bán hàng'!$J$8:$J$407)</f>
        <v>0</v>
      </c>
      <c r="F4" s="7">
        <f>SUMIF('Sổ bán hàng'!$M$8:$M$407,A4,'Sổ bán hàng'!$L$8:$L$407)</f>
        <v>0</v>
      </c>
      <c r="G4" s="7">
        <f>IFERROR(AVERAGEIF('Sổ bán hàng'!$M$8:$M$407,A4,'Sổ bán hàng'!$L$8:$L$407),0)</f>
        <v>0</v>
      </c>
      <c r="H4" s="10">
        <f>IF($F$16=0,0,F4/$F$16)</f>
        <v>0</v>
      </c>
      <c r="I4" s="7">
        <f>SUM($F$4:F4)</f>
        <v>0</v>
      </c>
      <c r="K4" s="2" t="s">
        <v>51</v>
      </c>
      <c r="L4" s="7">
        <f>F16</f>
        <v>0</v>
      </c>
    </row>
    <row r="5" spans="1:12">
      <c r="A5">
        <v>2</v>
      </c>
      <c r="B5" s="7">
        <f>COUNTIF('Sổ bán hàng'!$M$8:$M$407,A5)</f>
        <v>0</v>
      </c>
      <c r="C5" s="7">
        <f>SUMIF('Sổ bán hàng'!$M$8:$M$407,A5,'Sổ bán hàng'!$F$8:$F$407)</f>
        <v>0</v>
      </c>
      <c r="D5" s="7">
        <f>SUMIF('Sổ bán hàng'!$M$8:$M$407,A5,'Sổ bán hàng'!$H$8:$H$407)</f>
        <v>0</v>
      </c>
      <c r="E5" s="7">
        <f>SUMIF('Sổ bán hàng'!$M$8:$M$407,A5,'Sổ bán hàng'!$J$8:$J$407)</f>
        <v>0</v>
      </c>
      <c r="F5" s="7">
        <f>SUMIF('Sổ bán hàng'!$M$8:$M$407,A5,'Sổ bán hàng'!$L$8:$L$407)</f>
        <v>0</v>
      </c>
      <c r="G5" s="7">
        <f>IFERROR(AVERAGEIF('Sổ bán hàng'!$M$8:$M$407,A5,'Sổ bán hàng'!$L$8:$L$407),0)</f>
        <v>0</v>
      </c>
      <c r="H5" s="10">
        <f>IF($F$16=0,0,F5/$F$16)</f>
        <v>0</v>
      </c>
      <c r="I5" s="7">
        <f>SUM($F$4:F5)</f>
        <v>0</v>
      </c>
      <c r="K5" s="2" t="s">
        <v>52</v>
      </c>
      <c r="L5" s="7">
        <f>MAX('Sổ bán hàng'!$L$8:$L$407)</f>
        <v>0</v>
      </c>
    </row>
    <row r="6" spans="1:12">
      <c r="A6">
        <v>3</v>
      </c>
      <c r="B6" s="7">
        <f>COUNTIF('Sổ bán hàng'!$M$8:$M$407,A6)</f>
        <v>0</v>
      </c>
      <c r="C6" s="7">
        <f>SUMIF('Sổ bán hàng'!$M$8:$M$407,A6,'Sổ bán hàng'!$F$8:$F$407)</f>
        <v>0</v>
      </c>
      <c r="D6" s="7">
        <f>SUMIF('Sổ bán hàng'!$M$8:$M$407,A6,'Sổ bán hàng'!$H$8:$H$407)</f>
        <v>0</v>
      </c>
      <c r="E6" s="7">
        <f>SUMIF('Sổ bán hàng'!$M$8:$M$407,A6,'Sổ bán hàng'!$J$8:$J$407)</f>
        <v>0</v>
      </c>
      <c r="F6" s="7">
        <f>SUMIF('Sổ bán hàng'!$M$8:$M$407,A6,'Sổ bán hàng'!$L$8:$L$407)</f>
        <v>0</v>
      </c>
      <c r="G6" s="7">
        <f>IFERROR(AVERAGEIF('Sổ bán hàng'!$M$8:$M$407,A6,'Sổ bán hàng'!$L$8:$L$407),0)</f>
        <v>0</v>
      </c>
      <c r="H6" s="10">
        <f>IF($F$16=0,0,F6/$F$16)</f>
        <v>0</v>
      </c>
      <c r="I6" s="7">
        <f>SUM($F$4:F6)</f>
        <v>0</v>
      </c>
      <c r="K6" s="2" t="s">
        <v>53</v>
      </c>
      <c r="L6" s="7">
        <f>MIN('Sổ bán hàng'!$L$8:$L$407)</f>
        <v>0</v>
      </c>
    </row>
    <row r="7" spans="1:12">
      <c r="A7">
        <v>4</v>
      </c>
      <c r="B7" s="7">
        <f>COUNTIF('Sổ bán hàng'!$M$8:$M$407,A7)</f>
        <v>0</v>
      </c>
      <c r="C7" s="7">
        <f>SUMIF('Sổ bán hàng'!$M$8:$M$407,A7,'Sổ bán hàng'!$F$8:$F$407)</f>
        <v>0</v>
      </c>
      <c r="D7" s="7">
        <f>SUMIF('Sổ bán hàng'!$M$8:$M$407,A7,'Sổ bán hàng'!$H$8:$H$407)</f>
        <v>0</v>
      </c>
      <c r="E7" s="7">
        <f>SUMIF('Sổ bán hàng'!$M$8:$M$407,A7,'Sổ bán hàng'!$J$8:$J$407)</f>
        <v>0</v>
      </c>
      <c r="F7" s="7">
        <f>SUMIF('Sổ bán hàng'!$M$8:$M$407,A7,'Sổ bán hàng'!$L$8:$L$407)</f>
        <v>0</v>
      </c>
      <c r="G7" s="7">
        <f>IFERROR(AVERAGEIF('Sổ bán hàng'!$M$8:$M$407,A7,'Sổ bán hàng'!$L$8:$L$407),0)</f>
        <v>0</v>
      </c>
      <c r="H7" s="10">
        <f>IF($F$16=0,0,F7/$F$16)</f>
        <v>0</v>
      </c>
      <c r="I7" s="7">
        <f>SUM($F$4:F7)</f>
        <v>0</v>
      </c>
      <c r="K7" s="2" t="s">
        <v>54</v>
      </c>
      <c r="L7" s="7">
        <f>IFERROR(ROUND(AVERAGE('Sổ bán hàng'!$L$8:$L$407),0),0)</f>
        <v>0</v>
      </c>
    </row>
    <row r="8" spans="1:12">
      <c r="A8">
        <v>5</v>
      </c>
      <c r="B8" s="7">
        <f>COUNTIF('Sổ bán hàng'!$M$8:$M$407,A8)</f>
        <v>0</v>
      </c>
      <c r="C8" s="7">
        <f>SUMIF('Sổ bán hàng'!$M$8:$M$407,A8,'Sổ bán hàng'!$F$8:$F$407)</f>
        <v>0</v>
      </c>
      <c r="D8" s="7">
        <f>SUMIF('Sổ bán hàng'!$M$8:$M$407,A8,'Sổ bán hàng'!$H$8:$H$407)</f>
        <v>0</v>
      </c>
      <c r="E8" s="7">
        <f>SUMIF('Sổ bán hàng'!$M$8:$M$407,A8,'Sổ bán hàng'!$J$8:$J$407)</f>
        <v>0</v>
      </c>
      <c r="F8" s="7">
        <f>SUMIF('Sổ bán hàng'!$M$8:$M$407,A8,'Sổ bán hàng'!$L$8:$L$407)</f>
        <v>0</v>
      </c>
      <c r="G8" s="7">
        <f>IFERROR(AVERAGEIF('Sổ bán hàng'!$M$8:$M$407,A8,'Sổ bán hàng'!$L$8:$L$407),0)</f>
        <v>0</v>
      </c>
      <c r="H8" s="10">
        <f>IF($F$16=0,0,F8/$F$16)</f>
        <v>0</v>
      </c>
      <c r="I8" s="7">
        <f>SUM($F$4:F8)</f>
        <v>0</v>
      </c>
      <c r="K8" s="2" t="s">
        <v>55</v>
      </c>
      <c r="L8" s="7">
        <f>IFERROR(MEDIAN('Sổ bán hàng'!$L$8:$L$407),0)</f>
        <v>0</v>
      </c>
    </row>
    <row r="9" spans="1:12">
      <c r="A9">
        <v>6</v>
      </c>
      <c r="B9" s="7">
        <f>COUNTIF('Sổ bán hàng'!$M$8:$M$407,A9)</f>
        <v>0</v>
      </c>
      <c r="C9" s="7">
        <f>SUMIF('Sổ bán hàng'!$M$8:$M$407,A9,'Sổ bán hàng'!$F$8:$F$407)</f>
        <v>0</v>
      </c>
      <c r="D9" s="7">
        <f>SUMIF('Sổ bán hàng'!$M$8:$M$407,A9,'Sổ bán hàng'!$H$8:$H$407)</f>
        <v>0</v>
      </c>
      <c r="E9" s="7">
        <f>SUMIF('Sổ bán hàng'!$M$8:$M$407,A9,'Sổ bán hàng'!$J$8:$J$407)</f>
        <v>0</v>
      </c>
      <c r="F9" s="7">
        <f>SUMIF('Sổ bán hàng'!$M$8:$M$407,A9,'Sổ bán hàng'!$L$8:$L$407)</f>
        <v>0</v>
      </c>
      <c r="G9" s="7">
        <f>IFERROR(AVERAGEIF('Sổ bán hàng'!$M$8:$M$407,A9,'Sổ bán hàng'!$L$8:$L$407),0)</f>
        <v>0</v>
      </c>
      <c r="H9" s="10">
        <f>IF($F$16=0,0,F9/$F$16)</f>
        <v>0</v>
      </c>
      <c r="I9" s="7">
        <f>SUM($F$4:F9)</f>
        <v>0</v>
      </c>
      <c r="K9" s="2" t="s">
        <v>56</v>
      </c>
      <c r="L9" s="7">
        <f>SUMPRODUCT(('Sổ bán hàng'!$B$8:$B$407&lt;&gt;"")/COUNTIF('Sổ bán hàng'!$B$8:$B$407,'Sổ bán hàng'!$B$8:$B$407&amp;""))</f>
        <v>0</v>
      </c>
    </row>
    <row r="10" spans="1:12">
      <c r="A10">
        <v>7</v>
      </c>
      <c r="B10" s="7">
        <f>COUNTIF('Sổ bán hàng'!$M$8:$M$407,A10)</f>
        <v>0</v>
      </c>
      <c r="C10" s="7">
        <f>SUMIF('Sổ bán hàng'!$M$8:$M$407,A10,'Sổ bán hàng'!$F$8:$F$407)</f>
        <v>0</v>
      </c>
      <c r="D10" s="7">
        <f>SUMIF('Sổ bán hàng'!$M$8:$M$407,A10,'Sổ bán hàng'!$H$8:$H$407)</f>
        <v>0</v>
      </c>
      <c r="E10" s="7">
        <f>SUMIF('Sổ bán hàng'!$M$8:$M$407,A10,'Sổ bán hàng'!$J$8:$J$407)</f>
        <v>0</v>
      </c>
      <c r="F10" s="7">
        <f>SUMIF('Sổ bán hàng'!$M$8:$M$407,A10,'Sổ bán hàng'!$L$8:$L$407)</f>
        <v>0</v>
      </c>
      <c r="G10" s="7">
        <f>IFERROR(AVERAGEIF('Sổ bán hàng'!$M$8:$M$407,A10,'Sổ bán hàng'!$L$8:$L$407),0)</f>
        <v>0</v>
      </c>
      <c r="H10" s="10">
        <f>IF($F$16=0,0,F10/$F$16)</f>
        <v>0</v>
      </c>
      <c r="I10" s="7">
        <f>SUM($F$4:F10)</f>
        <v>0</v>
      </c>
      <c r="K10" s="2" t="s">
        <v>57</v>
      </c>
      <c r="L10" s="7">
        <f>SUMPRODUCT(('Sổ bán hàng'!$C$8:$C$407&lt;&gt;"")/COUNTIF('Sổ bán hàng'!$C$8:$C$407,'Sổ bán hàng'!$C$8:$C$407&amp;""))</f>
        <v>0</v>
      </c>
    </row>
    <row r="11" spans="1:12">
      <c r="A11">
        <v>8</v>
      </c>
      <c r="B11" s="7">
        <f>COUNTIF('Sổ bán hàng'!$M$8:$M$407,A11)</f>
        <v>0</v>
      </c>
      <c r="C11" s="7">
        <f>SUMIF('Sổ bán hàng'!$M$8:$M$407,A11,'Sổ bán hàng'!$F$8:$F$407)</f>
        <v>0</v>
      </c>
      <c r="D11" s="7">
        <f>SUMIF('Sổ bán hàng'!$M$8:$M$407,A11,'Sổ bán hàng'!$H$8:$H$407)</f>
        <v>0</v>
      </c>
      <c r="E11" s="7">
        <f>SUMIF('Sổ bán hàng'!$M$8:$M$407,A11,'Sổ bán hàng'!$J$8:$J$407)</f>
        <v>0</v>
      </c>
      <c r="F11" s="7">
        <f>SUMIF('Sổ bán hàng'!$M$8:$M$407,A11,'Sổ bán hàng'!$L$8:$L$407)</f>
        <v>0</v>
      </c>
      <c r="G11" s="7">
        <f>IFERROR(AVERAGEIF('Sổ bán hàng'!$M$8:$M$407,A11,'Sổ bán hàng'!$L$8:$L$407),0)</f>
        <v>0</v>
      </c>
      <c r="H11" s="10">
        <f>IF($F$16=0,0,F11/$F$16)</f>
        <v>0</v>
      </c>
      <c r="I11" s="7">
        <f>SUM($F$4:F11)</f>
        <v>0</v>
      </c>
      <c r="K11" s="2" t="s">
        <v>58</v>
      </c>
      <c r="L11" s="7">
        <f>INDEX(A4:A15,MATCH(MAX(F4:F15),F4:F15,0))</f>
        <v>0</v>
      </c>
    </row>
    <row r="12" spans="1:12">
      <c r="A12">
        <v>9</v>
      </c>
      <c r="B12" s="7">
        <f>COUNTIF('Sổ bán hàng'!$M$8:$M$407,A12)</f>
        <v>0</v>
      </c>
      <c r="C12" s="7">
        <f>SUMIF('Sổ bán hàng'!$M$8:$M$407,A12,'Sổ bán hàng'!$F$8:$F$407)</f>
        <v>0</v>
      </c>
      <c r="D12" s="7">
        <f>SUMIF('Sổ bán hàng'!$M$8:$M$407,A12,'Sổ bán hàng'!$H$8:$H$407)</f>
        <v>0</v>
      </c>
      <c r="E12" s="7">
        <f>SUMIF('Sổ bán hàng'!$M$8:$M$407,A12,'Sổ bán hàng'!$J$8:$J$407)</f>
        <v>0</v>
      </c>
      <c r="F12" s="7">
        <f>SUMIF('Sổ bán hàng'!$M$8:$M$407,A12,'Sổ bán hàng'!$L$8:$L$407)</f>
        <v>0</v>
      </c>
      <c r="G12" s="7">
        <f>IFERROR(AVERAGEIF('Sổ bán hàng'!$M$8:$M$407,A12,'Sổ bán hàng'!$L$8:$L$407),0)</f>
        <v>0</v>
      </c>
      <c r="H12" s="10">
        <f>IF($F$16=0,0,F12/$F$16)</f>
        <v>0</v>
      </c>
      <c r="I12" s="7">
        <f>SUM($F$4:F12)</f>
        <v>0</v>
      </c>
      <c r="K12" s="2" t="s">
        <v>59</v>
      </c>
      <c r="L12" s="7">
        <f>INDEX(B20:B29,MATCH(MAX(D20:D29),D20:D29,0))</f>
        <v>0</v>
      </c>
    </row>
    <row r="13" spans="1:12">
      <c r="A13">
        <v>10</v>
      </c>
      <c r="B13" s="7">
        <f>COUNTIF('Sổ bán hàng'!$M$8:$M$407,A13)</f>
        <v>0</v>
      </c>
      <c r="C13" s="7">
        <f>SUMIF('Sổ bán hàng'!$M$8:$M$407,A13,'Sổ bán hàng'!$F$8:$F$407)</f>
        <v>0</v>
      </c>
      <c r="D13" s="7">
        <f>SUMIF('Sổ bán hàng'!$M$8:$M$407,A13,'Sổ bán hàng'!$H$8:$H$407)</f>
        <v>0</v>
      </c>
      <c r="E13" s="7">
        <f>SUMIF('Sổ bán hàng'!$M$8:$M$407,A13,'Sổ bán hàng'!$J$8:$J$407)</f>
        <v>0</v>
      </c>
      <c r="F13" s="7">
        <f>SUMIF('Sổ bán hàng'!$M$8:$M$407,A13,'Sổ bán hàng'!$L$8:$L$407)</f>
        <v>0</v>
      </c>
      <c r="G13" s="7">
        <f>IFERROR(AVERAGEIF('Sổ bán hàng'!$M$8:$M$407,A13,'Sổ bán hàng'!$L$8:$L$407),0)</f>
        <v>0</v>
      </c>
      <c r="H13" s="10">
        <f>IF($F$16=0,0,F13/$F$16)</f>
        <v>0</v>
      </c>
      <c r="I13" s="7">
        <f>SUM($F$4:F13)</f>
        <v>0</v>
      </c>
      <c r="K13" s="2" t="s">
        <v>60</v>
      </c>
      <c r="L13" s="7">
        <f>COUNTIF('Sổ bán hàng'!$E$8:$E$407,"Không rõ mã")</f>
        <v>0</v>
      </c>
    </row>
    <row r="14" spans="1:12">
      <c r="A14">
        <v>11</v>
      </c>
      <c r="B14" s="7">
        <f>COUNTIF('Sổ bán hàng'!$M$8:$M$407,A14)</f>
        <v>0</v>
      </c>
      <c r="C14" s="7">
        <f>SUMIF('Sổ bán hàng'!$M$8:$M$407,A14,'Sổ bán hàng'!$F$8:$F$407)</f>
        <v>0</v>
      </c>
      <c r="D14" s="7">
        <f>SUMIF('Sổ bán hàng'!$M$8:$M$407,A14,'Sổ bán hàng'!$H$8:$H$407)</f>
        <v>0</v>
      </c>
      <c r="E14" s="7">
        <f>SUMIF('Sổ bán hàng'!$M$8:$M$407,A14,'Sổ bán hàng'!$J$8:$J$407)</f>
        <v>0</v>
      </c>
      <c r="F14" s="7">
        <f>SUMIF('Sổ bán hàng'!$M$8:$M$407,A14,'Sổ bán hàng'!$L$8:$L$407)</f>
        <v>0</v>
      </c>
      <c r="G14" s="7">
        <f>IFERROR(AVERAGEIF('Sổ bán hàng'!$M$8:$M$407,A14,'Sổ bán hàng'!$L$8:$L$407),0)</f>
        <v>0</v>
      </c>
      <c r="H14" s="10">
        <f>IF($F$16=0,0,F14/$F$16)</f>
        <v>0</v>
      </c>
      <c r="I14" s="7">
        <f>SUM($F$4:F14)</f>
        <v>0</v>
      </c>
      <c r="K14" s="2" t="s">
        <v>61</v>
      </c>
      <c r="L14" s="7">
        <f>COUNTIF('Sổ bán hàng'!$I$8:$I$407,"&gt;0")</f>
        <v>0</v>
      </c>
    </row>
    <row r="15" spans="1:12">
      <c r="A15">
        <v>12</v>
      </c>
      <c r="B15" s="7">
        <f>COUNTIF('Sổ bán hàng'!$M$8:$M$407,A15)</f>
        <v>0</v>
      </c>
      <c r="C15" s="7">
        <f>SUMIF('Sổ bán hàng'!$M$8:$M$407,A15,'Sổ bán hàng'!$F$8:$F$407)</f>
        <v>0</v>
      </c>
      <c r="D15" s="7">
        <f>SUMIF('Sổ bán hàng'!$M$8:$M$407,A15,'Sổ bán hàng'!$H$8:$H$407)</f>
        <v>0</v>
      </c>
      <c r="E15" s="7">
        <f>SUMIF('Sổ bán hàng'!$M$8:$M$407,A15,'Sổ bán hàng'!$J$8:$J$407)</f>
        <v>0</v>
      </c>
      <c r="F15" s="7">
        <f>SUMIF('Sổ bán hàng'!$M$8:$M$407,A15,'Sổ bán hàng'!$L$8:$L$407)</f>
        <v>0</v>
      </c>
      <c r="G15" s="7">
        <f>IFERROR(AVERAGEIF('Sổ bán hàng'!$M$8:$M$407,A15,'Sổ bán hàng'!$L$8:$L$407),0)</f>
        <v>0</v>
      </c>
      <c r="H15" s="10">
        <f>IF($F$16=0,0,F15/$F$16)</f>
        <v>0</v>
      </c>
      <c r="I15" s="7">
        <f>SUM($F$4:F15)</f>
        <v>0</v>
      </c>
    </row>
    <row r="16" spans="1:12">
      <c r="A16" s="9" t="s">
        <v>47</v>
      </c>
      <c r="B16" s="9">
        <f>SUM(B4:B15)</f>
        <v>0</v>
      </c>
      <c r="C16" s="9">
        <f>SUM(C4:C15)</f>
        <v>0</v>
      </c>
      <c r="D16" s="9">
        <f>SUM(D4:D15)</f>
        <v>0</v>
      </c>
      <c r="E16" s="9">
        <f>SUM(E4:E15)</f>
        <v>0</v>
      </c>
      <c r="F16" s="9">
        <f>SUM(F4:F15)</f>
        <v>0</v>
      </c>
      <c r="G16" s="9">
        <f>IFERROR(F16/B16,0)</f>
        <v>0</v>
      </c>
      <c r="H16" s="11">
        <f>SUM(H4:H15)</f>
        <v>0</v>
      </c>
      <c r="I16" s="9"/>
    </row>
    <row r="19" spans="1:5">
      <c r="A19" s="5" t="s">
        <v>7</v>
      </c>
      <c r="B19" s="5" t="s">
        <v>8</v>
      </c>
      <c r="C19" s="5" t="s">
        <v>48</v>
      </c>
      <c r="D19" s="5" t="s">
        <v>42</v>
      </c>
      <c r="E19" s="5" t="s">
        <v>49</v>
      </c>
    </row>
    <row r="20" spans="1:5">
      <c r="A20" t="s">
        <v>19</v>
      </c>
      <c r="B20">
        <f>INDEX('Danh mục'!$B$4:$B$13,MATCH(A20,'Danh mục'!$A$4:$A$13,0))</f>
        <v/>
      </c>
      <c r="C20" s="7">
        <f>SUMIF('Sổ bán hàng'!$D$8:$D$407,A20,'Sổ bán hàng'!$F$8:$F$407)</f>
        <v>0</v>
      </c>
      <c r="D20" s="7">
        <f>SUMIF('Sổ bán hàng'!$D$8:$D$407,A20,'Sổ bán hàng'!$H$8:$H$407)</f>
        <v>0</v>
      </c>
      <c r="E20">
        <f>RANK(D20,$D$20:$D$29)</f>
        <v>0</v>
      </c>
    </row>
    <row r="21" spans="1:5">
      <c r="A21" t="s">
        <v>21</v>
      </c>
      <c r="B21">
        <f>INDEX('Danh mục'!$B$4:$B$13,MATCH(A21,'Danh mục'!$A$4:$A$13,0))</f>
        <v/>
      </c>
      <c r="C21" s="7">
        <f>SUMIF('Sổ bán hàng'!$D$8:$D$407,A21,'Sổ bán hàng'!$F$8:$F$407)</f>
        <v>0</v>
      </c>
      <c r="D21" s="7">
        <f>SUMIF('Sổ bán hàng'!$D$8:$D$407,A21,'Sổ bán hàng'!$H$8:$H$407)</f>
        <v>0</v>
      </c>
      <c r="E21">
        <f>RANK(D21,$D$20:$D$29)</f>
        <v>0</v>
      </c>
    </row>
    <row r="22" spans="1:5">
      <c r="A22" t="s">
        <v>23</v>
      </c>
      <c r="B22">
        <f>INDEX('Danh mục'!$B$4:$B$13,MATCH(A22,'Danh mục'!$A$4:$A$13,0))</f>
        <v/>
      </c>
      <c r="C22" s="7">
        <f>SUMIF('Sổ bán hàng'!$D$8:$D$407,A22,'Sổ bán hàng'!$F$8:$F$407)</f>
        <v>0</v>
      </c>
      <c r="D22" s="7">
        <f>SUMIF('Sổ bán hàng'!$D$8:$D$407,A22,'Sổ bán hàng'!$H$8:$H$407)</f>
        <v>0</v>
      </c>
      <c r="E22">
        <f>RANK(D22,$D$20:$D$29)</f>
        <v>0</v>
      </c>
    </row>
    <row r="23" spans="1:5">
      <c r="A23" t="s">
        <v>25</v>
      </c>
      <c r="B23">
        <f>INDEX('Danh mục'!$B$4:$B$13,MATCH(A23,'Danh mục'!$A$4:$A$13,0))</f>
        <v/>
      </c>
      <c r="C23" s="7">
        <f>SUMIF('Sổ bán hàng'!$D$8:$D$407,A23,'Sổ bán hàng'!$F$8:$F$407)</f>
        <v>0</v>
      </c>
      <c r="D23" s="7">
        <f>SUMIF('Sổ bán hàng'!$D$8:$D$407,A23,'Sổ bán hàng'!$H$8:$H$407)</f>
        <v>0</v>
      </c>
      <c r="E23">
        <f>RANK(D23,$D$20:$D$29)</f>
        <v>0</v>
      </c>
    </row>
    <row r="24" spans="1:5">
      <c r="A24" t="s">
        <v>27</v>
      </c>
      <c r="B24">
        <f>INDEX('Danh mục'!$B$4:$B$13,MATCH(A24,'Danh mục'!$A$4:$A$13,0))</f>
        <v/>
      </c>
      <c r="C24" s="7">
        <f>SUMIF('Sổ bán hàng'!$D$8:$D$407,A24,'Sổ bán hàng'!$F$8:$F$407)</f>
        <v>0</v>
      </c>
      <c r="D24" s="7">
        <f>SUMIF('Sổ bán hàng'!$D$8:$D$407,A24,'Sổ bán hàng'!$H$8:$H$407)</f>
        <v>0</v>
      </c>
      <c r="E24">
        <f>RANK(D24,$D$20:$D$29)</f>
        <v>0</v>
      </c>
    </row>
    <row r="25" spans="1:5">
      <c r="A25" t="s">
        <v>29</v>
      </c>
      <c r="B25">
        <f>INDEX('Danh mục'!$B$4:$B$13,MATCH(A25,'Danh mục'!$A$4:$A$13,0))</f>
        <v/>
      </c>
      <c r="C25" s="7">
        <f>SUMIF('Sổ bán hàng'!$D$8:$D$407,A25,'Sổ bán hàng'!$F$8:$F$407)</f>
        <v>0</v>
      </c>
      <c r="D25" s="7">
        <f>SUMIF('Sổ bán hàng'!$D$8:$D$407,A25,'Sổ bán hàng'!$H$8:$H$407)</f>
        <v>0</v>
      </c>
      <c r="E25">
        <f>RANK(D25,$D$20:$D$29)</f>
        <v>0</v>
      </c>
    </row>
    <row r="26" spans="1:5">
      <c r="A26" t="s">
        <v>31</v>
      </c>
      <c r="B26">
        <f>INDEX('Danh mục'!$B$4:$B$13,MATCH(A26,'Danh mục'!$A$4:$A$13,0))</f>
        <v/>
      </c>
      <c r="C26" s="7">
        <f>SUMIF('Sổ bán hàng'!$D$8:$D$407,A26,'Sổ bán hàng'!$F$8:$F$407)</f>
        <v>0</v>
      </c>
      <c r="D26" s="7">
        <f>SUMIF('Sổ bán hàng'!$D$8:$D$407,A26,'Sổ bán hàng'!$H$8:$H$407)</f>
        <v>0</v>
      </c>
      <c r="E26">
        <f>RANK(D26,$D$20:$D$29)</f>
        <v>0</v>
      </c>
    </row>
    <row r="27" spans="1:5">
      <c r="A27" t="s">
        <v>33</v>
      </c>
      <c r="B27">
        <f>INDEX('Danh mục'!$B$4:$B$13,MATCH(A27,'Danh mục'!$A$4:$A$13,0))</f>
        <v/>
      </c>
      <c r="C27" s="7">
        <f>SUMIF('Sổ bán hàng'!$D$8:$D$407,A27,'Sổ bán hàng'!$F$8:$F$407)</f>
        <v>0</v>
      </c>
      <c r="D27" s="7">
        <f>SUMIF('Sổ bán hàng'!$D$8:$D$407,A27,'Sổ bán hàng'!$H$8:$H$407)</f>
        <v>0</v>
      </c>
      <c r="E27">
        <f>RANK(D27,$D$20:$D$29)</f>
        <v>0</v>
      </c>
    </row>
    <row r="28" spans="1:5">
      <c r="A28" t="s">
        <v>35</v>
      </c>
      <c r="B28">
        <f>INDEX('Danh mục'!$B$4:$B$13,MATCH(A28,'Danh mục'!$A$4:$A$13,0))</f>
        <v/>
      </c>
      <c r="C28" s="7">
        <f>SUMIF('Sổ bán hàng'!$D$8:$D$407,A28,'Sổ bán hàng'!$F$8:$F$407)</f>
        <v>0</v>
      </c>
      <c r="D28" s="7">
        <f>SUMIF('Sổ bán hàng'!$D$8:$D$407,A28,'Sổ bán hàng'!$H$8:$H$407)</f>
        <v>0</v>
      </c>
      <c r="E28">
        <f>RANK(D28,$D$20:$D$29)</f>
        <v>0</v>
      </c>
    </row>
    <row r="29" spans="1:5">
      <c r="A29" t="s">
        <v>37</v>
      </c>
      <c r="B29">
        <f>INDEX('Danh mục'!$B$4:$B$13,MATCH(A29,'Danh mục'!$A$4:$A$13,0))</f>
        <v/>
      </c>
      <c r="C29" s="7">
        <f>SUMIF('Sổ bán hàng'!$D$8:$D$407,A29,'Sổ bán hàng'!$F$8:$F$407)</f>
        <v>0</v>
      </c>
      <c r="D29" s="7">
        <f>SUMIF('Sổ bán hàng'!$D$8:$D$407,A29,'Sổ bán hàng'!$H$8:$H$407)</f>
        <v>0</v>
      </c>
      <c r="E29">
        <f>RANK(D29,$D$20:$D$29)</f>
        <v>0</v>
      </c>
    </row>
  </sheetData>
  <mergeCells count="1">
    <mergeCell ref="K3:L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Sổ bán hàng</vt:lpstr>
      <vt:lpstr>Danh mục</vt:lpstr>
      <vt:lpstr>Tổng hợp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2026-10-13T16:46:47Z</dcterms:created>
  <dcterms:modified xsi:type="dcterms:W3CDTF">2026-10-13T16:46:47Z</dcterms:modified>
</cp:coreProperties>
</file>