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án hàng" sheetId="1" r:id="rId1"/>
    <sheet name="Chỉ tiêu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<sst xmlns="http://schemas.openxmlformats.org/spreadsheetml/2006/main" count="25" uniqueCount="18">
  <si>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THEO DÕI BÁN HÀNG THÁNG 9/2026 (dữ liệu giả lập)</t>
  </si>
  <si>
    <t>Sản phẩm</t>
  </si>
  <si>
    <t>Số lượng</t>
  </si>
  <si>
    <t>Đơn giá</t>
  </si>
  <si>
    <t>Doanh thu</t>
  </si>
  <si>
    <t>Nhân viên</t>
  </si>
  <si>
    <t>Laptop văn phòng</t>
  </si>
  <si>
    <t>An</t>
  </si>
  <si>
    <t>Màn hình 24 inch</t>
  </si>
  <si>
    <t>Bình</t>
  </si>
  <si>
    <t>Bàn phím cơ</t>
  </si>
  <si>
    <t>Chuột không dây</t>
  </si>
  <si>
    <t>Cường</t>
  </si>
  <si>
    <t>Tai nghe</t>
  </si>
  <si>
    <t>Webcam HD</t>
  </si>
  <si>
    <t>Tổng</t>
  </si>
  <si>
    <t>Chỉ tiêu</t>
  </si>
  <si>
    <t>Đạt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</si>
</sst>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3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2.7109375" customWidth="1"/>
    <col min="2" max="4" width="16.7109375" customWidth="1"/>
    <col min="5" max="5" width="14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t="s">
        <v>6</v>
      </c>
      <c r="B4" s="3">
        <v>12</v>
      </c>
      <c r="C4" s="3">
        <v>15900000</v>
      </c>
      <c r="D4" s="3">
        <f>B4*C4</f>
        <v>190800000</v>
      </c>
      <c r="E4" t="s">
        <v>7</v>
      </c>
    </row>
    <row r="5" spans="1:5">
      <c r="A5" t="s">
        <v>8</v>
      </c>
      <c r="B5" s="3">
        <v>30</v>
      </c>
      <c r="C5" s="3">
        <v>3250000</v>
      </c>
      <c r="D5" s="3">
        <f>B5*C5</f>
        <v>97500000</v>
      </c>
      <c r="E5" t="s">
        <v>9</v>
      </c>
    </row>
    <row r="6" spans="1:5">
      <c r="A6" t="s">
        <v>10</v>
      </c>
      <c r="B6" s="3">
        <v>45</v>
      </c>
      <c r="C6" s="3">
        <v>890000</v>
      </c>
      <c r="D6" s="3">
        <f>B6*C6</f>
        <v>40050000</v>
      </c>
      <c r="E6" t="s">
        <v>7</v>
      </c>
    </row>
    <row r="7" spans="1:5">
      <c r="A7" t="s">
        <v>11</v>
      </c>
      <c r="B7" s="3">
        <v>80</v>
      </c>
      <c r="C7" s="3">
        <v>245000</v>
      </c>
      <c r="D7" s="3">
        <f>B7*C7</f>
        <v>19600000</v>
      </c>
      <c r="E7" t="s">
        <v>12</v>
      </c>
    </row>
    <row r="8" spans="1:5">
      <c r="A8" t="s">
        <v>13</v>
      </c>
      <c r="B8" s="3">
        <v>25</v>
      </c>
      <c r="C8" s="3">
        <v>650000</v>
      </c>
      <c r="D8" s="3">
        <f>B8*C8</f>
        <v>16250000</v>
      </c>
      <c r="E8" t="s">
        <v>9</v>
      </c>
    </row>
    <row r="9" spans="1:5">
      <c r="A9" t="s">
        <v>14</v>
      </c>
      <c r="B9" s="3">
        <v>18</v>
      </c>
      <c r="C9" s="3">
        <v>720000</v>
      </c>
      <c r="D9" s="3">
        <f>B9*C9</f>
        <v>12960000</v>
      </c>
      <c r="E9" t="s">
        <v>12</v>
      </c>
    </row>
    <row r="10" spans="1:5">
      <c r="A10" s="4" t="s">
        <v>15</v>
      </c>
      <c r="B10" s="4">
        <f>SUM(B4:B9)</f>
        <v>210</v>
      </c>
      <c r="C10" s="4"/>
      <c r="D10" s="4">
        <f>SUM(D4:D9)</f>
        <v>377160000</v>
      </c>
      <c r="E1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6.7109375" customWidth="1"/>
  </cols>
  <sheetData>
    <row r="1" spans="1:3">
      <c r="A1" s="2" t="s">
        <v>5</v>
      </c>
      <c r="B1" s="2" t="s">
        <v>16</v>
      </c>
      <c r="C1" s="2" t="s">
        <v>17</v>
      </c>
    </row>
    <row r="2" spans="1:3">
      <c r="A2" t="s">
        <v>7</v>
      </c>
      <c r="B2" s="3">
        <v>200000000</v>
      </c>
      <c r="C2" s="3">
        <f>SUMIF('Bán hàng'!E:E,A2,'Bán hàng'!D:D)</f>
        <v>0</v>
      </c>
    </row>
    <row r="3" spans="1:3">
      <c r="A3" t="s">
        <v>9</v>
      </c>
      <c r="B3" s="3">
        <v>120000000</v>
      </c>
      <c r="C3" s="3">
        <f>SUMIF('Bán hàng'!E:E,A3,'Bán hàng'!D:D)</f>
        <v>0</v>
      </c>
    </row>
    <row r="4" spans="1:3">
      <c r="A4" t="s">
        <v>12</v>
      </c>
      <c r="B4" s="3">
        <v>40000000</v>
      </c>
      <c r="C4" s="3">
        <f>SUMIF('Bán hàng'!E:E,A4,'Bán hàng'!D:D)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Bán hàng</vt:lpstr>
      <vt:lpstr>Chỉ tiêu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2026-10-13T16:46:47Z</dcterms:created>
  <dcterms:modified xsi:type="dcterms:W3CDTF">2026-10-13T16:46:47Z</dcterms:modified>
</cp:coreProperties>
</file>